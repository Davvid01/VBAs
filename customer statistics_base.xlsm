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8555"/>
  </bookViews>
  <sheets>
    <sheet name="e-mail_base" sheetId="1" r:id="rId1"/>
    <sheet name="Instructions" sheetId="3" r:id="rId2"/>
    <sheet name="button" sheetId="2" state="hidden" r:id="rId3"/>
  </sheet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<sst xmlns="http://schemas.openxmlformats.org/spreadsheetml/2006/main" count="170" uniqueCount="169">
  <si>
    <t>File number</t>
  </si>
  <si>
    <t>Date of email</t>
  </si>
  <si>
    <t>email address: "To"</t>
  </si>
  <si>
    <t>email address:"CC"</t>
  </si>
  <si>
    <t>Subject</t>
  </si>
  <si>
    <t>Message content</t>
  </si>
  <si>
    <t>Attachment Excel</t>
  </si>
  <si>
    <t>Names</t>
  </si>
  <si>
    <t>MONTH</t>
  </si>
  <si>
    <t>Year</t>
  </si>
  <si>
    <t>For prompts</t>
  </si>
  <si>
    <t>Months</t>
  </si>
  <si>
    <t>08</t>
  </si>
  <si>
    <t>Current month</t>
  </si>
  <si>
    <t>01</t>
  </si>
  <si>
    <t>02</t>
  </si>
  <si>
    <t>03</t>
  </si>
  <si>
    <t>path</t>
  </si>
  <si>
    <t>04</t>
  </si>
  <si>
    <t>05</t>
  </si>
  <si>
    <t>06</t>
  </si>
  <si>
    <t>07</t>
  </si>
  <si>
    <t>09</t>
  </si>
  <si>
    <t>10</t>
  </si>
  <si>
    <t>11</t>
  </si>
  <si>
    <t>12</t>
  </si>
  <si>
    <t>Step 1</t>
  </si>
  <si>
    <t>Refresh</t>
  </si>
  <si>
    <t>Step 2</t>
  </si>
  <si>
    <t>Send after confirmation</t>
  </si>
  <si>
    <t xml:space="preserve"> Temporarily set your mail footer/signature as totally BLANK for new messages  before sending files!</t>
  </si>
  <si>
    <t>Step 3</t>
  </si>
  <si>
    <t>Paste all files to:</t>
  </si>
  <si>
    <t>Statistiques Clients - OneDrive (sharepoint.com)</t>
  </si>
  <si>
    <t>makro będzię wysyłać maile i uzupełniać datę aż nie napotka na błąd. Wtedy wstrzyma wysyłanie</t>
  </si>
  <si>
    <t>Y:\USERS\Dawid\Customer Statistics\customer statistics - files\AG BAT - 84346.xlsx</t>
  </si>
  <si>
    <t>Y:\USERS\Dawid\Customer Statistics\customer statistics - files\AIRISOL - 36012.xlsx</t>
  </si>
  <si>
    <t>Y:\USERS\Dawid\Customer Statistics\customer statistics - files\ALLIOS JEFFCO - 69184.xlsx</t>
  </si>
  <si>
    <t>Y:\USERS\Dawid\Customer Statistics\customer statistics - files\ALTERAL - 33632.xlsx</t>
  </si>
  <si>
    <t>Y:\USERS\Dawid\Customer Statistics\customer statistics - files\ALTRION ORION - 33287.xlsx</t>
  </si>
  <si>
    <t>Y:\USERS\Dawid\Customer Statistics\customer statistics - files\APOK - 46814.xlsx</t>
  </si>
  <si>
    <t>Y:\USERS\Dawid\Customer Statistics\customer statistics - files\ARTO - 99274.xlsx</t>
  </si>
  <si>
    <t>Y:\USERS\Dawid\Customer Statistics\customer statistics - files\ARTO Gamme HVAC - 99274.xlsx</t>
  </si>
  <si>
    <t>Y:\USERS\Dawid\Customer Statistics\customer statistics - files\ASTURIENNE - 36386.xlsx</t>
  </si>
  <si>
    <t>Y:\USERS\Dawid\Customer Statistics\customer statistics - files\AXDIS - 99278.xlsx</t>
  </si>
  <si>
    <t>Y:\USERS\Dawid\Customer Statistics\customer statistics - files\BAO - 90889.xlsx</t>
  </si>
  <si>
    <t>Y:\USERS\Dawid\Customer Statistics\customer statistics - files\BATILAND - 34219.xlsx</t>
  </si>
  <si>
    <t>Y:\USERS\Dawid\Customer Statistics\customer statistics - files\BAUMIT - 96635.xlsx</t>
  </si>
  <si>
    <t>Y:\USERS\Dawid\Customer Statistics\customer statistics - files\BIGMAT - 104121.xlsx</t>
  </si>
  <si>
    <t>Y:\USERS\Dawid\Customer Statistics\customer statistics - files\BIGMAT CENTRE OUEST -  33031.xlsx</t>
  </si>
  <si>
    <t>Y:\USERS\Dawid\Customer Statistics\customer statistics - files\BIGMAT CENTRE-EST - 33032.xlsx</t>
  </si>
  <si>
    <t>Y:\USERS\Dawid\Customer Statistics\customer statistics - files\BIGMAT EST - 35533.xlsx</t>
  </si>
  <si>
    <t>Y:\USERS\Dawid\Customer Statistics\customer statistics - files\BIGMAT NORD NORMANDIE - 33027.xlsx</t>
  </si>
  <si>
    <t>Y:\USERS\Dawid\Customer Statistics\customer statistics - files\BIGMAT SUD OUEST - 33033.xlsx</t>
  </si>
  <si>
    <t>Y:\USERS\Dawid\Customer Statistics\customer statistics - files\BME - 33064.xlsx</t>
  </si>
  <si>
    <t>Y:\USERS\Dawid\Customer Statistics\customer statistics - files\BOULARD VERDIER - 32704.xlsx</t>
  </si>
  <si>
    <t>Y:\USERS\Dawid\Customer Statistics\customer statistics - files\BRICO DEPOT - 32398.xlsx</t>
  </si>
  <si>
    <t>Y:\USERS\Dawid\Customer Statistics\customer statistics - files\BRICOMAN - 33122.xlsx</t>
  </si>
  <si>
    <t>Y:\USERS\Dawid\Customer Statistics\customer statistics - files\BROCHARD - 33746.xlsx</t>
  </si>
  <si>
    <t>Y:\USERS\Dawid\Customer Statistics\customer statistics - files\CAMOZZI - 32805.xlsx</t>
  </si>
  <si>
    <t>Y:\USERS\Dawid\Customer Statistics\customer statistics - files\CASTORAMA - 33594.xlsx</t>
  </si>
  <si>
    <t>Y:\USERS\Dawid\Customer Statistics\customer statistics - files\CETIBAM - 99276.xlsx</t>
  </si>
  <si>
    <t>Y:\USERS\Dawid\Customer Statistics\customer statistics - files\CHAUSSON MATERIAUX - 33327.xlsx</t>
  </si>
  <si>
    <t>Y:\USERS\Dawid\Customer Statistics\customer statistics - files\CHAUSSON RHONE-ALPES - 107099.xlsx</t>
  </si>
  <si>
    <t>Y:\USERS\Dawid\Customer Statistics\customer statistics - files\CHAUSSON SUD-EST - 32330.xlsx</t>
  </si>
  <si>
    <t>Y:\USERS\Dawid\Customer Statistics\customer statistics - files\CHAVIGNY - 32881.xlsx</t>
  </si>
  <si>
    <t>Y:\USERS\Dawid\Customer Statistics\customer statistics - files\CHRETIEN - 32090.xlsx</t>
  </si>
  <si>
    <t>Y:\USERS\Dawid\Customer Statistics\customer statistics - files\CIFFREO BONA - 33637.xlsx</t>
  </si>
  <si>
    <t>Y:\USERS\Dawid\Customer Statistics\customer statistics - files\CMEM - 33653.xlsx</t>
  </si>
  <si>
    <t>Y:\USERS\Dawid\Customer Statistics\customer statistics - files\COEUGNET - 32402.xlsx</t>
  </si>
  <si>
    <t>Y:\USERS\Dawid\Customer Statistics\customer statistics - files\COMAFRANC - 33526.xlsx</t>
  </si>
  <si>
    <t>Y:\USERS\Dawid\Customer Statistics\customer statistics - files\CORSTYRENE - 33198.xlsx</t>
  </si>
  <si>
    <t>Y:\USERS\Dawid\Customer Statistics\customer statistics - files\COSTAMAGNA - 33522.xlsx</t>
  </si>
  <si>
    <t>Y:\USERS\Dawid\Customer Statistics\customer statistics - files\CROMOLOGY - 44086.xlsx</t>
  </si>
  <si>
    <t>Y:\USERS\Dawid\Customer Statistics\customer statistics - files\DAI - 32847.xlsx</t>
  </si>
  <si>
    <t>Y:\USERS\Dawid\Customer Statistics\customer statistics - files\DAI gamme Hvac - 32847.xlsx</t>
  </si>
  <si>
    <t>Y:\USERS\Dawid\Customer Statistics\customer statistics - files\DAW France - 96634.xlsx</t>
  </si>
  <si>
    <t>Y:\USERS\Dawid\Customer Statistics\customer statistics - files\DENIS - 33224.xlsx</t>
  </si>
  <si>
    <t>Y:\USERS\Dawid\Customer Statistics\customer statistics - files\DMBP - 39936.xlsx</t>
  </si>
  <si>
    <t>Y:\USERS\Dawid\Customer Statistics\customer statistics - files\DORAS - 35309.xlsx</t>
  </si>
  <si>
    <t>Y:\USERS\Dawid\Customer Statistics\customer statistics - files\ELTHISOL - 14491.xlsx</t>
  </si>
  <si>
    <t>Y:\USERS\Dawid\Customer Statistics\customer statistics - files\EQUIPEMENT DE LA MAISON - 33057.xlsx</t>
  </si>
  <si>
    <t>Y:\USERS\Dawid\Customer Statistics\customer statistics - files\ESPACE EMERAUDE_GAREM - 35736.xlsx</t>
  </si>
  <si>
    <t>Y:\USERS\Dawid\Customer Statistics\customer statistics - files\FACE - 32279.xlsx</t>
  </si>
  <si>
    <t>Y:\USERS\Dawid\Customer Statistics\customer statistics - files\FINANCIERE DU RIED - 109726.xlsx</t>
  </si>
  <si>
    <t>Y:\USERS\Dawid\Customer Statistics\customer statistics - files\FRANCE MATERIAUX - 33238.xlsx</t>
  </si>
  <si>
    <t>Y:\USERS\Dawid\Customer Statistics\customer statistics - files\GALEC - 32241.xlsx</t>
  </si>
  <si>
    <t>Y:\USERS\Dawid\Customer Statistics\customer statistics - files\GALOPIN - 32701.xlsx</t>
  </si>
  <si>
    <t>Y:\USERS\Dawid\Customer Statistics\customer statistics - files\GEDIMAT - 34733.xlsx</t>
  </si>
  <si>
    <t>Y:\USERS\Dawid\Customer Statistics\customer statistics - files\GEDIMAT EST - 36055.xlsx</t>
  </si>
  <si>
    <t>Y:\USERS\Dawid\Customer Statistics\customer statistics - files\GEDIMAT NORD PARIS - 36056.xlsx</t>
  </si>
  <si>
    <t>Y:\USERS\Dawid\Customer Statistics\customer statistics - files\GEDIMAT OUEST -  36051.xlsx</t>
  </si>
  <si>
    <t>Y:\USERS\Dawid\Customer Statistics\customer statistics - files\GEDIMAT RHONE ALPES - 36054.xlsx</t>
  </si>
  <si>
    <t>Y:\USERS\Dawid\Customer Statistics\customer statistics - files\GEDIMAT SUD OUEST - 36052.xlsx</t>
  </si>
  <si>
    <t>Y:\USERS\Dawid\Customer Statistics\customer statistics - files\GEDIMAT SUD-EST - 36053.xlsx</t>
  </si>
  <si>
    <t>Y:\USERS\Dawid\Customer Statistics\customer statistics - files\GIRARDON MATERIAUX - 100168 .xlsx</t>
  </si>
  <si>
    <t>Y:\USERS\Dawid\Customer Statistics\customer statistics - files\GROUPE CCL - 108821.xlsx</t>
  </si>
  <si>
    <t>Y:\USERS\Dawid\Customer Statistics\customer statistics - files\GROUPE FRANCOIS - 32680.xlsx</t>
  </si>
  <si>
    <t>Y:\USERS\Dawid\Customer Statistics\customer statistics - files\GROUPE MR BRICOLAGE - 35241.xlsx</t>
  </si>
  <si>
    <t>Y:\USERS\Dawid\Customer Statistics\customer statistics - files\GROUPE PILLAUD - 75958.xlsx</t>
  </si>
  <si>
    <t>Y:\USERS\Dawid\Customer Statistics\customer statistics - files\GROUPE RESO - 32102.xlsx</t>
  </si>
  <si>
    <t>Y:\USERS\Dawid\Customer Statistics\customer statistics - files\GUINDE - 99275.xlsx</t>
  </si>
  <si>
    <t>Y:\USERS\Dawid\Customer Statistics\customer statistics - files\HOUDARD - 34920.xlsx</t>
  </si>
  <si>
    <t>Y:\USERS\Dawid\Customer Statistics\customer statistics - files\LA MAISON DE L'ETANCHEUR - 86738.xlsx</t>
  </si>
  <si>
    <t>Y:\USERS\Dawid\Customer Statistics\customer statistics - files\LABENNE ROUGIER - 32941.xlsx</t>
  </si>
  <si>
    <t>Y:\USERS\Dawid\Customer Statistics\customer statistics - files\LALLIARD - 33197.xlsx</t>
  </si>
  <si>
    <t>Y:\USERS\Dawid\Customer Statistics\customer statistics - files\LARIVIERE - 33304.xlsx</t>
  </si>
  <si>
    <t>Y:\USERS\Dawid\Customer Statistics\customer statistics - files\LAUDE - 32966.xlsx</t>
  </si>
  <si>
    <t>Y:\USERS\Dawid\Customer Statistics\customer statistics - files\LEDO MATERIAUX - 46007.xlsx</t>
  </si>
  <si>
    <t>Y:\USERS\Dawid\Customer Statistics\customer statistics - files\LEROY MERLIN - 35116.xlsx</t>
  </si>
  <si>
    <t>Y:\USERS\Dawid\Customer Statistics\customer statistics - files\LITT - 35196.xlsx</t>
  </si>
  <si>
    <t>Y:\USERS\Dawid\Customer Statistics\customer statistics - files\LITT IDF - 33786.xlsx</t>
  </si>
  <si>
    <t>Y:\USERS\Dawid\Customer Statistics\customer statistics - files\LITT NORD-NORMANDIE - 33796.xlsx</t>
  </si>
  <si>
    <t>Y:\USERS\Dawid\Customer Statistics\customer statistics - files\LITT OUEST - 33792.xlsx</t>
  </si>
  <si>
    <t>Y:\USERS\Dawid\Customer Statistics\customer statistics - files\MAT PLUS - 35284.xlsx</t>
  </si>
  <si>
    <t>Y:\USERS\Dawid\Customer Statistics\customer statistics - files\MATERIAUX REUNIS - 33745.xlsx</t>
  </si>
  <si>
    <t>Y:\USERS\Dawid\Customer Statistics\customer statistics - files\MATERIAUX SIMC - 32483.xlsx</t>
  </si>
  <si>
    <t>Y:\USERS\Dawid\Customer Statistics\customer statistics - files\MC DISTRIBUTION - 32690.xlsx</t>
  </si>
  <si>
    <t>Y:\USERS\Dawid\Customer Statistics\customer statistics - files\MPlus - 33406.xlsx</t>
  </si>
  <si>
    <t>Y:\USERS\Dawid\Customer Statistics\customer statistics - files\NEBOPAN - 33110.xlsx</t>
  </si>
  <si>
    <t>Y:\USERS\Dawid\Customer Statistics\customer statistics - files\ORCAB - 31652.xlsx</t>
  </si>
  <si>
    <t>Y:\USERS\Dawid\Customer Statistics\customer statistics - files\OSSABOIS - 34540.xlsx</t>
  </si>
  <si>
    <t>Y:\USERS\Dawid\Customer Statistics\customer statistics - files\OUEST ISOLATION - 35385.xlsx</t>
  </si>
  <si>
    <t>Y:\USERS\Dawid\Customer Statistics\customer statistics - files\PACKISOL - 33321.xlsx</t>
  </si>
  <si>
    <t>Y:\USERS\Dawid\Customer Statistics\customer statistics - files\PAGOT SAVOIE - 32080.xlsx</t>
  </si>
  <si>
    <t>Y:\USERS\Dawid\Customer Statistics\customer statistics - files\PARTEDIS - 33433.xlsx</t>
  </si>
  <si>
    <t>Y:\USERS\Dawid\Customer Statistics\customer statistics - files\PLATEFORME DU BATIMENT - 33009.xlsx</t>
  </si>
  <si>
    <t>Y:\USERS\Dawid\Customer Statistics\customer statistics - files\PLATTARD - 33233.xlsx</t>
  </si>
  <si>
    <t>Y:\USERS\Dawid\Customer Statistics\customer statistics - files\POINT P - 35433.xlsx</t>
  </si>
  <si>
    <t>Y:\USERS\Dawid\Customer Statistics\customer statistics - files\POINT P BRETAGNE - 34729.xlsx</t>
  </si>
  <si>
    <t>Y:\USERS\Dawid\Customer Statistics\customer statistics - files\POINT P CENTRE - 33516.xlsx</t>
  </si>
  <si>
    <t>Y:\USERS\Dawid\Customer Statistics\customer statistics - files\POINT P EST - 36390.xlsx</t>
  </si>
  <si>
    <t>Y:\USERS\Dawid\Customer Statistics\customer statistics - files\POINT P ILE DE France - 35200.xlsx</t>
  </si>
  <si>
    <t>Y:\USERS\Dawid\Customer Statistics\customer statistics - files\POINT P LANGUEDOC - 35231.xlsx</t>
  </si>
  <si>
    <t>Y:\USERS\Dawid\Customer Statistics\customer statistics - files\POINT P NORD - 34233.xlsx</t>
  </si>
  <si>
    <t>Y:\USERS\Dawid\Customer Statistics\customer statistics - files\POINT P NORMANDIE - 34234.xlsx</t>
  </si>
  <si>
    <t>Y:\USERS\Dawid\Customer Statistics\customer statistics - files\POINT P PAYS DE LOIRE - 36295.xlsx</t>
  </si>
  <si>
    <t>Y:\USERS\Dawid\Customer Statistics\customer statistics - files\POINT P PROVENCE - 35706.xlsx</t>
  </si>
  <si>
    <t>Y:\USERS\Dawid\Customer Statistics\customer statistics - files\POINT P RHONE ALPES - 32206.xlsx</t>
  </si>
  <si>
    <t>Y:\USERS\Dawid\Customer Statistics\customer statistics - files\POINT P SUD OUEST03 - 33520.xlsx</t>
  </si>
  <si>
    <t>Y:\USERS\Dawid\Customer Statistics\customer statistics - files\PP S.O CBA - 33284.xlsx</t>
  </si>
  <si>
    <t>Y:\USERS\Dawid\Customer Statistics\customer statistics - files\PPG - 45159.xlsx</t>
  </si>
  <si>
    <t>Y:\USERS\Dawid\Customer Statistics\customer statistics - files\PRB - 96633.xlsx</t>
  </si>
  <si>
    <t>Y:\USERS\Dawid\Customer Statistics\customer statistics - files\QUEGUINER- 31871.xlsx</t>
  </si>
  <si>
    <t>Y:\USERS\Dawid\Customer Statistics\customer statistics - files\RAMERY - 56784.xlsx</t>
  </si>
  <si>
    <t>Y:\USERS\Dawid\Customer Statistics\customer statistics - files\RESO ATLANTIQUE - 32716.xlsx</t>
  </si>
  <si>
    <t>Y:\USERS\Dawid\Customer Statistics\customer statistics - files\ROOFMART - 79869.xlsx</t>
  </si>
  <si>
    <t>Y:\USERS\Dawid\Customer Statistics\customer statistics - files\SAFISOL - 112988.xlsx</t>
  </si>
  <si>
    <t>Y:\USERS\Dawid\Customer Statistics\customer statistics - files\SAGRA - 34389.xlsx</t>
  </si>
  <si>
    <t>Y:\USERS\Dawid\Customer Statistics\customer statistics - files\SAINT GOBAIN WEBER - 57152.xlsx</t>
  </si>
  <si>
    <t>Y:\USERS\Dawid\Customer Statistics\customer statistics - files\SAMSE - 35799.xlsx</t>
  </si>
  <si>
    <t>Y:\USERS\Dawid\Customer Statistics\customer statistics - files\SEBISOLE - 99277.xlsx</t>
  </si>
  <si>
    <t>Y:\USERS\Dawid\Customer Statistics\customer statistics - files\SFIC IDF - 33335.xlsx</t>
  </si>
  <si>
    <t>Y:\USERS\Dawid\Customer Statistics\customer statistics - files\SFIC IDF Etanchéité - 33335.xlsx</t>
  </si>
  <si>
    <t>Y:\USERS\Dawid\Customer Statistics\customer statistics - files\SGDB - 33240.xlsx</t>
  </si>
  <si>
    <t>Y:\USERS\Dawid\Customer Statistics\customer statistics - files\SIKA_PAREX - 118684.xlsx</t>
  </si>
  <si>
    <t>Y:\USERS\Dawid\Customer Statistics\customer statistics - files\SMAC - 35843.xlsx</t>
  </si>
  <si>
    <t>Y:\USERS\Dawid\Customer Statistics\customer statistics - files\SOLISO TECHNOLOGIE - 33036.xlsx</t>
  </si>
  <si>
    <t>Y:\USERS\Dawid\Customer Statistics\customer statistics - files\SOPREMA - 35844.xlsx</t>
  </si>
  <si>
    <t>Y:\USERS\Dawid\Customer Statistics\customer statistics - files\STARMAT - 35948.xlsx</t>
  </si>
  <si>
    <t>Y:\USERS\Dawid\Customer Statistics\customer statistics - files\STO - 53891.xlsx</t>
  </si>
  <si>
    <t>Y:\USERS\Dawid\Customer Statistics\customer statistics - files\SYLVALLIANCE - 33624.xlsx</t>
  </si>
  <si>
    <t>Y:\USERS\Dawid\Customer Statistics\customer statistics - files\TANGUY - 32859.xlsx</t>
  </si>
  <si>
    <t>Y:\USERS\Dawid\Customer Statistics\customer statistics - files\TOUT FAIRE - 33430.xlsx</t>
  </si>
  <si>
    <t>Y:\USERS\Dawid\Customer Statistics\customer statistics - files\TUBEST - 109724.xlsx</t>
  </si>
  <si>
    <t>Y:\USERS\Dawid\Customer Statistics\customer statistics - files\UNION MATERIAUX - 35699.xlsx</t>
  </si>
  <si>
    <t>Y:\USERS\Dawid\Customer Statistics\customer statistics - files\VILVERT MATERIAUX - 104042.xlsx</t>
  </si>
  <si>
    <t>Y:\USERS\Dawid\Customer Statistics\customer statistics - files\VM MATERIAUX - 36398.xlsx</t>
  </si>
  <si>
    <t>Y:\USERS\Dawid\Customer Statistics\customer statistics - files\WELDOM - 33831.xlsx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</si>
</sst>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32">
    <font>
      <sz val="11"/>
      <color theme="1"/>
      <name val="Calibri"/>
      <charset val="238"/>
      <scheme val="minor"/>
    </font>
    <font>
      <b/>
      <sz val="11"/>
      <color theme="1"/>
      <name val="Calibri"/>
      <charset val="238"/>
      <scheme val="minor"/>
    </font>
    <font>
      <u/>
      <sz val="11"/>
      <color theme="10"/>
      <name val="Calibri"/>
      <charset val="238"/>
      <scheme val="minor"/>
    </font>
    <font>
      <u/>
      <sz val="10"/>
      <color rgb="FF0070C0"/>
      <name val="Arial"/>
      <charset val="134"/>
    </font>
    <font>
      <sz val="10"/>
      <color rgb="FF0070C0"/>
      <name val="Arial"/>
      <charset val="134"/>
    </font>
    <font>
      <u/>
      <sz val="11"/>
      <color theme="1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8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u/>
      <sz val="11"/>
      <color rgb="FF0070C0"/>
      <name val="Calibri"/>
      <charset val="134"/>
    </font>
    <font>
      <sz val="11"/>
      <color rgb="FF0070C0"/>
      <name val="Arial"/>
      <charset val="134"/>
    </font>
    <font>
      <u/>
      <sz val="11"/>
      <color rgb="FF0070C0"/>
      <name val="Calibri"/>
      <charset val="238"/>
      <scheme val="minor"/>
    </font>
    <font>
      <sz val="11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color theme="1"/>
      <name val="Arial"/>
      <charset val="134"/>
    </font>
  </fonts>
  <fills count="42">
    <fill>
      <patternFill patternType="none"/>
    </fill>
    <fill>
      <patternFill patternType="gray125"/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0"/>
        <bgColor theme="4" tint="0.59999389629810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0499893185216834"/>
        <bgColor theme="4" tint="0.599993896298105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176" fontId="12" fillId="0" borderId="0" applyFont="0" applyFill="0" applyBorder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13" fillId="0" borderId="0" applyNumberFormat="0" applyFill="0" applyBorder="0" applyAlignment="0" applyProtection="0">
      <alignment vertical="center"/>
    </xf>
    <xf numFmtId="0" fontId="12" fillId="11" borderId="10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12" borderId="13" applyNumberFormat="0" applyAlignment="0" applyProtection="0">
      <alignment vertical="center"/>
    </xf>
    <xf numFmtId="0" fontId="21" fillId="13" borderId="14" applyNumberFormat="0" applyAlignment="0" applyProtection="0">
      <alignment vertical="center"/>
    </xf>
    <xf numFmtId="0" fontId="22" fillId="13" borderId="13" applyNumberFormat="0" applyAlignment="0" applyProtection="0">
      <alignment vertical="center"/>
    </xf>
    <xf numFmtId="0" fontId="23" fillId="14" borderId="15" applyNumberFormat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31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2" borderId="1" xfId="0" applyFont="1" applyFill="1" applyBorder="1"/>
    <xf numFmtId="0" fontId="0" fillId="0" borderId="1" xfId="0" applyFont="1" applyBorder="1"/>
    <xf numFmtId="0" fontId="1" fillId="0" borderId="0" xfId="0" applyFont="1"/>
    <xf numFmtId="0" fontId="2" fillId="0" borderId="0" xfId="6"/>
    <xf numFmtId="22" fontId="0" fillId="0" borderId="0" xfId="0" applyNumberFormat="1"/>
    <xf numFmtId="0" fontId="2" fillId="0" borderId="0" xfId="6" applyAlignment="1">
      <alignment vertical="center"/>
    </xf>
    <xf numFmtId="0" fontId="0" fillId="3" borderId="0" xfId="0" applyFill="1" applyAlignment="1">
      <alignment wrapText="1"/>
    </xf>
    <xf numFmtId="0" fontId="3" fillId="0" borderId="0" xfId="0" applyFont="1"/>
    <xf numFmtId="0" fontId="0" fillId="4" borderId="0" xfId="0" applyFill="1"/>
    <xf numFmtId="0" fontId="3" fillId="0" borderId="0" xfId="0" applyFont="1" applyBorder="1"/>
    <xf numFmtId="0" fontId="4" fillId="0" borderId="0" xfId="0" applyFont="1"/>
    <xf numFmtId="0" fontId="0" fillId="5" borderId="0" xfId="0" applyFill="1"/>
    <xf numFmtId="0" fontId="3" fillId="0" borderId="0" xfId="6" applyFont="1"/>
    <xf numFmtId="0" fontId="3" fillId="0" borderId="2" xfId="0" applyFont="1" applyBorder="1" applyAlignment="1">
      <alignment vertical="center"/>
    </xf>
    <xf numFmtId="0" fontId="5" fillId="0" borderId="3" xfId="6" applyFont="1" applyFill="1" applyBorder="1" applyAlignment="1">
      <alignment vertical="center"/>
    </xf>
    <xf numFmtId="0" fontId="2" fillId="0" borderId="2" xfId="6" applyFill="1" applyBorder="1" applyAlignment="1">
      <alignment vertical="center"/>
    </xf>
    <xf numFmtId="0" fontId="3" fillId="6" borderId="2" xfId="0" applyFont="1" applyFill="1" applyBorder="1" applyAlignment="1">
      <alignment vertical="center"/>
    </xf>
    <xf numFmtId="0" fontId="6" fillId="7" borderId="4" xfId="0" applyFont="1" applyFill="1" applyBorder="1"/>
    <xf numFmtId="0" fontId="6" fillId="7" borderId="5" xfId="0" applyFont="1" applyFill="1" applyBorder="1"/>
    <xf numFmtId="0" fontId="7" fillId="8" borderId="4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center" vertical="center"/>
    </xf>
    <xf numFmtId="0" fontId="0" fillId="0" borderId="6" xfId="0" applyFill="1" applyBorder="1"/>
    <xf numFmtId="0" fontId="6" fillId="0" borderId="6" xfId="0" applyFont="1" applyFill="1" applyBorder="1"/>
    <xf numFmtId="0" fontId="0" fillId="0" borderId="0" xfId="0" applyFill="1"/>
    <xf numFmtId="0" fontId="0" fillId="0" borderId="0" xfId="0" applyFill="1" applyBorder="1"/>
    <xf numFmtId="0" fontId="7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7" borderId="4" xfId="0" applyFill="1" applyBorder="1"/>
    <xf numFmtId="0" fontId="0" fillId="7" borderId="7" xfId="0" applyFill="1" applyBorder="1"/>
    <xf numFmtId="0" fontId="0" fillId="7" borderId="8" xfId="0" applyFill="1" applyBorder="1"/>
    <xf numFmtId="0" fontId="9" fillId="0" borderId="0" xfId="0" applyFont="1"/>
    <xf numFmtId="58" fontId="0" fillId="0" borderId="0" xfId="0" applyNumberFormat="1"/>
    <xf numFmtId="0" fontId="2" fillId="6" borderId="2" xfId="6" applyFill="1" applyBorder="1" applyAlignment="1">
      <alignment vertical="center"/>
    </xf>
    <xf numFmtId="0" fontId="2" fillId="6" borderId="0" xfId="6" applyFill="1" applyAlignment="1">
      <alignment vertical="center"/>
    </xf>
    <xf numFmtId="0" fontId="10" fillId="0" borderId="0" xfId="6" applyFont="1" applyFill="1" applyAlignment="1"/>
    <xf numFmtId="0" fontId="10" fillId="0" borderId="0" xfId="49" applyFont="1"/>
    <xf numFmtId="0" fontId="11" fillId="0" borderId="0" xfId="6" applyFont="1"/>
    <xf numFmtId="0" fontId="3" fillId="0" borderId="0" xfId="0" applyFont="1" applyAlignment="1">
      <alignment wrapText="1"/>
    </xf>
    <xf numFmtId="0" fontId="5" fillId="10" borderId="9" xfId="6" applyFont="1" applyFill="1" applyBorder="1" applyAlignment="1">
      <alignment vertical="center"/>
    </xf>
    <xf numFmtId="0" fontId="2" fillId="0" borderId="0" xfId="6" applyBorder="1"/>
    <xf numFmtId="0" fontId="2" fillId="10" borderId="9" xfId="6" applyFill="1" applyBorder="1" applyAlignment="1">
      <alignment vertical="center"/>
    </xf>
    <xf numFmtId="0" fontId="7" fillId="8" borderId="4" xfId="0" applyFont="1" applyFill="1" applyBorder="1" applyAlignment="1" quotePrefix="1">
      <alignment horizontal="center"/>
    </xf>
    <xf numFmtId="0" fontId="0" fillId="0" borderId="0" xfId="0" quotePrefix="1"/>
    <xf numFmtId="0" fontId="0" fillId="7" borderId="7" xfId="0" applyFill="1" applyBorder="1" quotePrefix="1"/>
  </cellXfs>
  <cellStyles count="50">
    <cellStyle name="Normalny" xfId="0" builtinId="0"/>
    <cellStyle name="Dziesiętny" xfId="1" builtinId="3"/>
    <cellStyle name="Walutowy" xfId="2" builtinId="4"/>
    <cellStyle name="Procentowy" xfId="3" builtinId="5"/>
    <cellStyle name="Przecinek [0]" xfId="4" builtinId="6"/>
    <cellStyle name="Waluta [0]" xfId="5" builtinId="7"/>
    <cellStyle name="Hiperłącze" xfId="6" builtinId="8"/>
    <cellStyle name="Użyte hiperłącze" xfId="7" builtinId="9"/>
    <cellStyle name="Uwaga" xfId="8" builtinId="10"/>
    <cellStyle name="Tekst ostrzeżenia" xfId="9" builtinId="11"/>
    <cellStyle name="Tytuł" xfId="10" builtinId="15"/>
    <cellStyle name="Tekst objaśnienia" xfId="11" builtinId="53"/>
    <cellStyle name="Nagłówek 1" xfId="12" builtinId="16"/>
    <cellStyle name="Nagłówek 2" xfId="13" builtinId="17"/>
    <cellStyle name="Nagłówek 3" xfId="14" builtinId="18"/>
    <cellStyle name="Nagłówek 4" xfId="15" builtinId="19"/>
    <cellStyle name="Dane wejściowe" xfId="16" builtinId="20"/>
    <cellStyle name="Dane wyjściowe" xfId="17" builtinId="21"/>
    <cellStyle name="Obliczenia" xfId="18" builtinId="22"/>
    <cellStyle name="Komórka zaznaczona" xfId="19" builtinId="23"/>
    <cellStyle name="Komórka połączona" xfId="20" builtinId="24"/>
    <cellStyle name="Suma" xfId="21" builtinId="25"/>
    <cellStyle name="Dobre" xfId="22" builtinId="26"/>
    <cellStyle name="Złe" xfId="23" builtinId="27"/>
    <cellStyle name="Neutralne" xfId="24" builtinId="28"/>
    <cellStyle name="Akcent 1" xfId="25" builtinId="29"/>
    <cellStyle name="20% - Akcent 1" xfId="26" builtinId="30"/>
    <cellStyle name="40% - Akcent 1" xfId="27" builtinId="31"/>
    <cellStyle name="60% - Akcent 1" xfId="28" builtinId="32"/>
    <cellStyle name="Akcent 2" xfId="29" builtinId="33"/>
    <cellStyle name="20% - Akcent 2" xfId="30" builtinId="34"/>
    <cellStyle name="40% - Akcent 2" xfId="31" builtinId="35"/>
    <cellStyle name="60% - Akcent 2" xfId="32" builtinId="36"/>
    <cellStyle name="Akcent 3" xfId="33" builtinId="37"/>
    <cellStyle name="20% - Akcent 3" xfId="34" builtinId="38"/>
    <cellStyle name="40% - Akcent 3" xfId="35" builtinId="39"/>
    <cellStyle name="60% - Akcent 3" xfId="36" builtinId="40"/>
    <cellStyle name="Akcent 4" xfId="37" builtinId="41"/>
    <cellStyle name="20% - Akcent 4" xfId="38" builtinId="42"/>
    <cellStyle name="40% - Akcent 4" xfId="39" builtinId="43"/>
    <cellStyle name="60% - Akcent 4" xfId="40" builtinId="44"/>
    <cellStyle name="Akcent 5" xfId="41" builtinId="45"/>
    <cellStyle name="20% - Akcent 5" xfId="42" builtinId="46"/>
    <cellStyle name="40% - Akcent 5" xfId="43" builtinId="47"/>
    <cellStyle name="60% - Akcent 5" xfId="44" builtinId="48"/>
    <cellStyle name="Akcent 6" xfId="45" builtinId="49"/>
    <cellStyle name="20% - Akcent 6" xfId="46" builtinId="50"/>
    <cellStyle name="40% - Akcent 6" xfId="47" builtinId="51"/>
    <cellStyle name="60% - Akcent 6" xfId="48" builtinId="52"/>
    <cellStyle name="Normal 5" xfId="49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23</xdr:row>
          <xdr:rowOff>101600</xdr:rowOff>
        </xdr:from>
        <xdr:to>
          <xdr:col>16</xdr:col>
          <xdr:colOff>355600</xdr:colOff>
          <xdr:row>28</xdr:row>
          <xdr:rowOff>69850</xdr:rowOff>
        </xdr:to>
        <xdr:sp macro="[0]!wysylkamaili_petla.wysylanieMaila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7922835" y="4610735"/>
              <a:ext cx="3553460" cy="88265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Send reports</a:t>
              </a:r>
              <a:endParaRPr lang="en-US" sz="20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990600</xdr:colOff>
          <xdr:row>8</xdr:row>
          <xdr:rowOff>50800</xdr:rowOff>
        </xdr:from>
        <xdr:to>
          <xdr:col>16</xdr:col>
          <xdr:colOff>190500</xdr:colOff>
          <xdr:row>13</xdr:row>
          <xdr:rowOff>165100</xdr:rowOff>
        </xdr:to>
        <xdr:sp macro="[0]!CheckIfFileExists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37897435" y="1816735"/>
              <a:ext cx="3413760" cy="1028700"/>
            </a:xfrm>
            <a:prstGeom prst="rect">
              <a:avLst/>
            </a:prstGeom>
          </xdr:spPr>
          <xdr:txBody>
            <a:bodyPr vertOverflow="clip" wrap="square" lIns="54864" tIns="0" rIns="54864" bIns="59436" anchor="b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Check path files</a:t>
              </a:r>
              <a:endParaRPr lang="en-US" sz="20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  <a:p>
              <a:pPr algn="ctr" rtl="0">
                <a:defRPr sz="1000"/>
              </a:pPr>
              <a:endParaRPr lang="en-US" sz="20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1028700</xdr:colOff>
          <xdr:row>16</xdr:row>
          <xdr:rowOff>6350</xdr:rowOff>
        </xdr:from>
        <xdr:to>
          <xdr:col>16</xdr:col>
          <xdr:colOff>228600</xdr:colOff>
          <xdr:row>22</xdr:row>
          <xdr:rowOff>25400</xdr:rowOff>
        </xdr:to>
        <xdr:sp macro="[0]!MonthlyPreparation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37922835" y="3235325"/>
              <a:ext cx="3426460" cy="1116330"/>
            </a:xfrm>
            <a:prstGeom prst="rect">
              <a:avLst/>
            </a:prstGeom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Refreshing</a:t>
              </a:r>
              <a:endParaRPr lang="en-US" sz="22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6</xdr:col>
      <xdr:colOff>88901</xdr:colOff>
      <xdr:row>4</xdr:row>
      <xdr:rowOff>127000</xdr:rowOff>
    </xdr:from>
    <xdr:to>
      <xdr:col>18</xdr:col>
      <xdr:colOff>604375</xdr:colOff>
      <xdr:row>32</xdr:row>
      <xdr:rowOff>102887</xdr:rowOff>
    </xdr:to>
    <xdr:pic>
      <xdr:nvPicPr>
        <xdr:cNvPr id="2" name="Picture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4538980" y="858520"/>
          <a:ext cx="7769225" cy="509651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4</xdr:row>
      <xdr:rowOff>146050</xdr:rowOff>
    </xdr:from>
    <xdr:to>
      <xdr:col>4</xdr:col>
      <xdr:colOff>336550</xdr:colOff>
      <xdr:row>17</xdr:row>
      <xdr:rowOff>165487</xdr:rowOff>
    </xdr:to>
    <xdr:pic>
      <xdr:nvPicPr>
        <xdr:cNvPr id="3" name="Picture 2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71450" y="877570"/>
          <a:ext cx="3406140" cy="23964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:H138" totalsRowShown="0">
  <autoFilter xmlns:etc="http://www.wps.cn/officeDocument/2017/etCustomData" ref="A1:H138" etc:filterBottomFollowUsedRange="0"/>
  <tableColumns count="8">
    <tableColumn id="1" name="File number"/>
    <tableColumn id="3" name="Date of email"/>
    <tableColumn id="4" name="email address: &quot;To&quot;"/>
    <tableColumn id="5" name="email address:&quot;CC&quot;"/>
    <tableColumn id="6" name="Subject"/>
    <tableColumn id="7" name="Message content"/>
    <tableColumn id="2" name="Attachment Excel"/>
    <tableColumn id="8" name="Names" dataDxfId="0">
      <calculatedColumnFormula>RIGHT(G2,LEN(G2)-FIND("|",SUBSTITUTE(G2,"\","|",LEN(G2)-LEN(SUBSTITUTE(G2,"\","")))))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ustomProperty" Target="../customProperty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ockwool-my.sharepoint.com/personal/sophie_courtet_rockwool_com/_layouts/15/onedrive.aspx?id=%2Fpersonal%2Fsophie%5Fcourtet%5Frockwool%5Fcom%2FDocuments%2FGestion%20Commerciale%2FStatistiques%20Clients&amp;fromShare=true&amp;ga=1" TargetMode="External"/><Relationship Id="rId2" Type="http://schemas.openxmlformats.org/officeDocument/2006/relationships/customProperty" Target="../customProperty2.bin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138"/>
  <sheetViews>
    <sheetView tabSelected="1" zoomScale="70" zoomScaleNormal="70" topLeftCell="E1" workbookViewId="0">
      <selection activeCell="J15" sqref="J14:J15"/>
    </sheetView>
  </sheetViews>
  <sheetFormatPr defaultColWidth="8.81481481481481" defaultRowHeight="14.4"/>
  <cols>
    <col min="1" max="1" width="14" customWidth="1"/>
    <col min="2" max="2" width="18" customWidth="1"/>
    <col min="3" max="3" width="247" customWidth="1"/>
    <col min="4" max="4" width="28.1759259259259" customWidth="1"/>
    <col min="5" max="5" width="23.5462962962963" customWidth="1"/>
    <col min="6" max="6" width="18.8148148148148" customWidth="1"/>
    <col min="7" max="7" width="135.361111111111" customWidth="1"/>
    <col min="8" max="8" width="35.6296296296296" customWidth="1"/>
    <col min="11" max="11" width="14.8148148148148" customWidth="1"/>
    <col min="12" max="12" width="14.9074074074074" customWidth="1"/>
    <col min="13" max="13" width="14.0925925925926" customWidth="1"/>
    <col min="15" max="15" width="8.81481481481481" hidden="1" customWidth="1"/>
    <col min="17" max="17" width="10.9074074074074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ht="17.25" customHeight="1" spans="1:8">
      <c r="A2">
        <v>1</v>
      </c>
      <c r="B2" s="6">
        <v>45512.597349537</v>
      </c>
      <c r="C2" s="7"/>
      <c r="F2" s="8"/>
      <c r="G2" s="5"/>
      <c r="H2" t="e">
        <f>RIGHT(G2,LEN(G2)-FIND("|",SUBSTITUTE(G2,"\","|",LEN(G2)-LEN(SUBSTITUTE(G2,"\","")))))</f>
        <v>#VALUE!</v>
      </c>
    </row>
    <row r="3" ht="15.15" spans="1:15">
      <c r="A3">
        <v>2</v>
      </c>
      <c r="B3" s="6">
        <v>45512.5973611111</v>
      </c>
      <c r="C3" s="9"/>
      <c r="D3" s="5"/>
      <c r="E3"/>
      <c r="F3" s="10"/>
      <c r="G3" s="5"/>
      <c r="H3" t="e">
        <f t="shared" ref="H3:H33" si="0">RIGHT(G3,LEN(G3)-FIND("|",SUBSTITUTE(G3,"\","|",LEN(G3)-LEN(SUBSTITUTE(G3,"\","")))))</f>
        <v>#VALUE!</v>
      </c>
      <c r="J3" s="19" t="s">
        <v>8</v>
      </c>
      <c r="K3" s="19" t="s">
        <v>9</v>
      </c>
      <c r="M3" s="19" t="s">
        <v>10</v>
      </c>
      <c r="O3" s="20" t="s">
        <v>11</v>
      </c>
    </row>
    <row r="4" ht="24.15" spans="1:15">
      <c r="A4">
        <v>3</v>
      </c>
      <c r="B4" s="6">
        <v>45512.5973611111</v>
      </c>
      <c r="C4" s="11"/>
      <c r="F4" s="10"/>
      <c r="G4"/>
      <c r="H4" t="e">
        <f t="shared" si="0"/>
        <v>#VALUE!</v>
      </c>
      <c r="J4" s="44" t="s">
        <v>12</v>
      </c>
      <c r="K4" s="21">
        <v>2024</v>
      </c>
      <c r="L4" s="22" t="s">
        <v>13</v>
      </c>
      <c r="M4" s="44" t="str">
        <f>"0"&amp;J4&amp;"."&amp;K4</f>
        <v>008.2024</v>
      </c>
      <c r="O4" s="45" t="s">
        <v>14</v>
      </c>
    </row>
    <row r="5" spans="1:15">
      <c r="A5">
        <v>4</v>
      </c>
      <c r="B5" s="6">
        <v>45512.5973726852</v>
      </c>
      <c r="C5" s="9"/>
      <c r="F5" s="10"/>
      <c r="G5"/>
      <c r="H5" t="e">
        <f t="shared" si="0"/>
        <v>#VALUE!</v>
      </c>
      <c r="J5" s="23"/>
      <c r="K5" s="24"/>
      <c r="L5" s="25"/>
      <c r="O5" s="45" t="s">
        <v>15</v>
      </c>
    </row>
    <row r="6" ht="24.15" spans="1:15">
      <c r="A6">
        <v>5</v>
      </c>
      <c r="B6" s="6">
        <v>45512.5973842593</v>
      </c>
      <c r="C6" s="9"/>
      <c r="F6" s="10"/>
      <c r="G6"/>
      <c r="H6" t="e">
        <f t="shared" si="0"/>
        <v>#VALUE!</v>
      </c>
      <c r="J6" s="26"/>
      <c r="K6" s="27"/>
      <c r="L6" s="28"/>
      <c r="M6" s="29"/>
      <c r="O6" s="45" t="s">
        <v>16</v>
      </c>
    </row>
    <row r="7" ht="15.15" spans="1:17">
      <c r="A7">
        <v>6</v>
      </c>
      <c r="B7" s="6">
        <v>45512.5973842593</v>
      </c>
      <c r="C7" s="11"/>
      <c r="F7" s="10"/>
      <c r="G7"/>
      <c r="H7" t="e">
        <f t="shared" si="0"/>
        <v>#VALUE!</v>
      </c>
      <c r="J7" s="30" t="s">
        <v>17</v>
      </c>
      <c r="K7" s="31"/>
      <c r="L7" s="31"/>
      <c r="M7" s="31"/>
      <c r="N7" s="31"/>
      <c r="O7" s="46" t="s">
        <v>18</v>
      </c>
      <c r="P7" s="31"/>
      <c r="Q7" s="32"/>
    </row>
    <row r="8" spans="1:15">
      <c r="A8">
        <v>7</v>
      </c>
      <c r="B8" s="6">
        <v>45512.5973842593</v>
      </c>
      <c r="C8" s="9"/>
      <c r="F8" s="10"/>
      <c r="G8"/>
      <c r="H8" t="e">
        <f t="shared" si="0"/>
        <v>#VALUE!</v>
      </c>
      <c r="O8" s="45" t="s">
        <v>19</v>
      </c>
    </row>
    <row r="9" spans="1:15">
      <c r="A9">
        <v>8</v>
      </c>
      <c r="B9" s="6">
        <v>45512.5973958333</v>
      </c>
      <c r="C9" s="9"/>
      <c r="F9" s="10"/>
      <c r="G9"/>
      <c r="H9" t="e">
        <f t="shared" si="0"/>
        <v>#VALUE!</v>
      </c>
      <c r="O9" s="45" t="s">
        <v>20</v>
      </c>
    </row>
    <row r="10" spans="1:15">
      <c r="A10">
        <v>9</v>
      </c>
      <c r="B10" s="6">
        <v>45512.5973958333</v>
      </c>
      <c r="C10" s="12"/>
      <c r="F10" s="10"/>
      <c r="G10"/>
      <c r="H10" t="e">
        <f t="shared" si="0"/>
        <v>#VALUE!</v>
      </c>
      <c r="O10" s="45" t="s">
        <v>21</v>
      </c>
    </row>
    <row r="11" spans="1:15">
      <c r="A11">
        <v>10</v>
      </c>
      <c r="B11" s="6">
        <v>45512.5974074074</v>
      </c>
      <c r="C11" s="9"/>
      <c r="F11" s="10"/>
      <c r="G11"/>
      <c r="H11" t="e">
        <f t="shared" si="0"/>
        <v>#VALUE!</v>
      </c>
      <c r="O11" s="45" t="s">
        <v>12</v>
      </c>
    </row>
    <row r="12" spans="1:15">
      <c r="A12">
        <v>11</v>
      </c>
      <c r="B12" s="6">
        <v>45512.5974074074</v>
      </c>
      <c r="C12" s="9"/>
      <c r="F12" s="10"/>
      <c r="G12"/>
      <c r="H12" t="e">
        <f t="shared" si="0"/>
        <v>#VALUE!</v>
      </c>
      <c r="O12" s="45" t="s">
        <v>22</v>
      </c>
    </row>
    <row r="13" spans="1:15">
      <c r="A13">
        <v>12</v>
      </c>
      <c r="B13" s="6">
        <v>45512.5974189815</v>
      </c>
      <c r="C13" s="9"/>
      <c r="F13" s="10"/>
      <c r="G13"/>
      <c r="H13" t="e">
        <f t="shared" si="0"/>
        <v>#VALUE!</v>
      </c>
      <c r="O13" s="45" t="s">
        <v>23</v>
      </c>
    </row>
    <row r="14" spans="1:15">
      <c r="A14">
        <v>13</v>
      </c>
      <c r="B14" s="6">
        <v>45512.5974305556</v>
      </c>
      <c r="C14" s="9"/>
      <c r="F14" s="10"/>
      <c r="G14"/>
      <c r="H14" t="e">
        <f t="shared" si="0"/>
        <v>#VALUE!</v>
      </c>
      <c r="O14" s="45" t="s">
        <v>24</v>
      </c>
    </row>
    <row r="15" spans="1:15">
      <c r="A15">
        <v>14</v>
      </c>
      <c r="B15" s="6">
        <v>45512.5974305556</v>
      </c>
      <c r="C15" s="9"/>
      <c r="F15" s="10"/>
      <c r="G15"/>
      <c r="H15" t="e">
        <f t="shared" si="0"/>
        <v>#VALUE!</v>
      </c>
      <c r="O15" s="45" t="s">
        <v>25</v>
      </c>
    </row>
    <row r="16" spans="1:8">
      <c r="A16">
        <v>15</v>
      </c>
      <c r="B16" s="6">
        <v>45512.5974421296</v>
      </c>
      <c r="C16" s="5"/>
      <c r="F16" s="10"/>
      <c r="G16"/>
      <c r="H16" t="e">
        <f t="shared" si="0"/>
        <v>#VALUE!</v>
      </c>
    </row>
    <row r="17" spans="1:8">
      <c r="A17">
        <v>16</v>
      </c>
      <c r="B17" s="6">
        <v>45512.5974421296</v>
      </c>
      <c r="C17" s="9"/>
      <c r="F17" s="10"/>
      <c r="G17"/>
      <c r="H17" t="e">
        <f t="shared" si="0"/>
        <v>#VALUE!</v>
      </c>
    </row>
    <row r="18" spans="1:8">
      <c r="A18" s="13">
        <v>17</v>
      </c>
      <c r="B18" s="6">
        <v>45512.5974537037</v>
      </c>
      <c r="C18" s="5"/>
      <c r="F18" s="10"/>
      <c r="G18"/>
      <c r="H18" t="e">
        <f t="shared" si="0"/>
        <v>#VALUE!</v>
      </c>
    </row>
    <row r="19" spans="1:8">
      <c r="A19">
        <v>18</v>
      </c>
      <c r="B19" s="6">
        <v>45512.5974537037</v>
      </c>
      <c r="C19" s="9"/>
      <c r="F19" s="10"/>
      <c r="G19"/>
      <c r="H19" t="e">
        <f t="shared" si="0"/>
        <v>#VALUE!</v>
      </c>
    </row>
    <row r="20" spans="1:8">
      <c r="A20">
        <v>19</v>
      </c>
      <c r="B20" s="6">
        <v>45512.5974652778</v>
      </c>
      <c r="C20" s="7"/>
      <c r="F20" s="10"/>
      <c r="G20"/>
      <c r="H20" t="e">
        <f t="shared" si="0"/>
        <v>#VALUE!</v>
      </c>
    </row>
    <row r="21" spans="1:8">
      <c r="A21">
        <v>20</v>
      </c>
      <c r="B21" s="6">
        <v>45512.5974652778</v>
      </c>
      <c r="C21" s="9"/>
      <c r="F21" s="10"/>
      <c r="G21"/>
      <c r="H21" t="e">
        <f t="shared" si="0"/>
        <v>#VALUE!</v>
      </c>
    </row>
    <row r="22" spans="1:8">
      <c r="A22">
        <v>21</v>
      </c>
      <c r="B22" s="6">
        <v>45512.5974768518</v>
      </c>
      <c r="C22" s="12"/>
      <c r="F22" s="10"/>
      <c r="G22"/>
      <c r="H22" t="e">
        <f t="shared" si="0"/>
        <v>#VALUE!</v>
      </c>
    </row>
    <row r="23" spans="1:8">
      <c r="A23">
        <v>22</v>
      </c>
      <c r="B23" s="6">
        <v>45512.5974768518</v>
      </c>
      <c r="C23" s="7"/>
      <c r="F23" s="10"/>
      <c r="G23"/>
      <c r="H23" t="e">
        <f t="shared" si="0"/>
        <v>#VALUE!</v>
      </c>
    </row>
    <row r="24" spans="1:8">
      <c r="A24">
        <v>23</v>
      </c>
      <c r="B24" s="6">
        <v>45512.5974884259</v>
      </c>
      <c r="C24" s="5"/>
      <c r="F24" s="10"/>
      <c r="G24"/>
      <c r="H24" t="e">
        <f t="shared" si="0"/>
        <v>#VALUE!</v>
      </c>
    </row>
    <row r="25" spans="1:8">
      <c r="A25">
        <v>24</v>
      </c>
      <c r="B25" s="6">
        <v>45512.5974884259</v>
      </c>
      <c r="C25" s="9"/>
      <c r="F25" s="10"/>
      <c r="G25"/>
      <c r="H25" t="e">
        <f t="shared" si="0"/>
        <v>#VALUE!</v>
      </c>
    </row>
    <row r="26" spans="1:8">
      <c r="A26">
        <v>25</v>
      </c>
      <c r="B26" s="6">
        <v>45512.5975</v>
      </c>
      <c r="C26" s="5"/>
      <c r="F26" s="10"/>
      <c r="G26"/>
      <c r="H26" t="e">
        <f t="shared" si="0"/>
        <v>#VALUE!</v>
      </c>
    </row>
    <row r="27" spans="1:8">
      <c r="A27">
        <v>26</v>
      </c>
      <c r="B27" s="6">
        <v>45512.5975</v>
      </c>
      <c r="C27" s="9"/>
      <c r="F27" s="10"/>
      <c r="G27" s="5"/>
      <c r="H27" t="e">
        <f t="shared" si="0"/>
        <v>#VALUE!</v>
      </c>
    </row>
    <row r="28" spans="1:8">
      <c r="A28">
        <v>27</v>
      </c>
      <c r="B28" s="6">
        <v>45512.5975115741</v>
      </c>
      <c r="C28" s="7"/>
      <c r="F28" s="10"/>
      <c r="G28"/>
      <c r="H28" t="e">
        <f t="shared" si="0"/>
        <v>#VALUE!</v>
      </c>
    </row>
    <row r="29" spans="1:8">
      <c r="A29">
        <v>28</v>
      </c>
      <c r="B29" s="6">
        <v>45512.5975115741</v>
      </c>
      <c r="C29" s="5"/>
      <c r="F29" s="10"/>
      <c r="G29"/>
      <c r="H29" t="e">
        <f t="shared" si="0"/>
        <v>#VALUE!</v>
      </c>
    </row>
    <row r="30" spans="1:8">
      <c r="A30">
        <v>29</v>
      </c>
      <c r="B30" s="6">
        <v>45512.5975231481</v>
      </c>
      <c r="C30" s="5"/>
      <c r="F30" s="10"/>
      <c r="G30"/>
      <c r="H30" t="e">
        <f t="shared" si="0"/>
        <v>#VALUE!</v>
      </c>
    </row>
    <row r="31" spans="1:8">
      <c r="A31">
        <v>30</v>
      </c>
      <c r="B31" s="6">
        <v>45512.5975231481</v>
      </c>
      <c r="C31" s="5"/>
      <c r="F31" s="10"/>
      <c r="G31"/>
      <c r="H31" t="e">
        <f t="shared" si="0"/>
        <v>#VALUE!</v>
      </c>
    </row>
    <row r="32" spans="1:8">
      <c r="A32">
        <v>31</v>
      </c>
      <c r="B32" s="6">
        <v>45512.5975347222</v>
      </c>
      <c r="C32" s="9"/>
      <c r="F32" s="10"/>
      <c r="G32"/>
      <c r="H32" t="e">
        <f t="shared" si="0"/>
        <v>#VALUE!</v>
      </c>
    </row>
    <row r="33" spans="1:8">
      <c r="A33">
        <v>32</v>
      </c>
      <c r="B33" s="6">
        <v>45512.5975347222</v>
      </c>
      <c r="C33" s="14"/>
      <c r="F33" s="10"/>
      <c r="G33"/>
      <c r="H33" t="e">
        <f t="shared" si="0"/>
        <v>#VALUE!</v>
      </c>
    </row>
    <row r="34" spans="1:8">
      <c r="A34">
        <v>33</v>
      </c>
      <c r="B34" s="6">
        <v>45512.5975462963</v>
      </c>
      <c r="C34" s="9"/>
      <c r="F34" s="10"/>
      <c r="G34"/>
      <c r="H34" t="e">
        <f t="shared" ref="H34:H65" si="1">RIGHT(G34,LEN(G34)-FIND("|",SUBSTITUTE(G34,"\","|",LEN(G34)-LEN(SUBSTITUTE(G34,"\","")))))</f>
        <v>#VALUE!</v>
      </c>
    </row>
    <row r="35" spans="1:8">
      <c r="A35">
        <v>34</v>
      </c>
      <c r="B35" s="6">
        <v>45512.5975462963</v>
      </c>
      <c r="C35" s="9"/>
      <c r="F35" s="10"/>
      <c r="G35"/>
      <c r="H35" t="e">
        <f t="shared" si="1"/>
        <v>#VALUE!</v>
      </c>
    </row>
    <row r="36" spans="1:8">
      <c r="A36">
        <v>35</v>
      </c>
      <c r="B36" s="6">
        <v>45512.5975578704</v>
      </c>
      <c r="C36" s="5"/>
      <c r="F36" s="10"/>
      <c r="G36" s="5"/>
      <c r="H36" t="e">
        <f t="shared" si="1"/>
        <v>#VALUE!</v>
      </c>
    </row>
    <row r="37" spans="1:8">
      <c r="A37">
        <v>36</v>
      </c>
      <c r="B37" s="6">
        <v>45512.5975578704</v>
      </c>
      <c r="C37" s="15"/>
      <c r="F37" s="10"/>
      <c r="G37"/>
      <c r="H37" t="e">
        <f t="shared" si="1"/>
        <v>#VALUE!</v>
      </c>
    </row>
    <row r="38" spans="1:8">
      <c r="A38">
        <v>37</v>
      </c>
      <c r="B38" s="6">
        <v>45512.5975694444</v>
      </c>
      <c r="C38" s="9"/>
      <c r="F38" s="10"/>
      <c r="G38"/>
      <c r="H38" t="e">
        <f t="shared" si="1"/>
        <v>#VALUE!</v>
      </c>
    </row>
    <row r="39" spans="1:8">
      <c r="A39">
        <v>38</v>
      </c>
      <c r="B39" s="6">
        <v>45512.5975694444</v>
      </c>
      <c r="C39" s="9"/>
      <c r="F39" s="10"/>
      <c r="G39"/>
      <c r="H39" t="e">
        <f t="shared" si="1"/>
        <v>#VALUE!</v>
      </c>
    </row>
    <row r="40" spans="1:8">
      <c r="A40">
        <v>39</v>
      </c>
      <c r="B40" s="6">
        <v>45512.5975810185</v>
      </c>
      <c r="C40" s="9"/>
      <c r="F40" s="10"/>
      <c r="G40"/>
      <c r="H40" t="e">
        <f t="shared" si="1"/>
        <v>#VALUE!</v>
      </c>
    </row>
    <row r="41" spans="1:8">
      <c r="A41">
        <v>40</v>
      </c>
      <c r="B41" s="6">
        <v>45512.5975810185</v>
      </c>
      <c r="C41" s="9"/>
      <c r="F41" s="10"/>
      <c r="G41"/>
      <c r="H41" t="e">
        <f t="shared" si="1"/>
        <v>#VALUE!</v>
      </c>
    </row>
    <row r="42" spans="1:8">
      <c r="A42">
        <v>41</v>
      </c>
      <c r="B42" s="6">
        <v>45512.5975925926</v>
      </c>
      <c r="C42" s="9"/>
      <c r="F42" s="10"/>
      <c r="G42"/>
      <c r="H42" t="e">
        <f t="shared" si="1"/>
        <v>#VALUE!</v>
      </c>
    </row>
    <row r="43" spans="1:8">
      <c r="A43">
        <v>42</v>
      </c>
      <c r="B43" s="6">
        <v>45512.5975925926</v>
      </c>
      <c r="C43" s="5"/>
      <c r="F43" s="10"/>
      <c r="G43"/>
      <c r="H43" t="e">
        <f t="shared" si="1"/>
        <v>#VALUE!</v>
      </c>
    </row>
    <row r="44" spans="1:8">
      <c r="A44">
        <v>43</v>
      </c>
      <c r="B44" s="6">
        <v>45512.5976041667</v>
      </c>
      <c r="C44" s="9"/>
      <c r="F44" s="10"/>
      <c r="G44"/>
      <c r="H44" t="e">
        <f t="shared" si="1"/>
        <v>#VALUE!</v>
      </c>
    </row>
    <row r="45" spans="1:8">
      <c r="A45">
        <v>44</v>
      </c>
      <c r="B45" s="6">
        <v>45512.5976157407</v>
      </c>
      <c r="C45" s="5"/>
      <c r="F45" s="10"/>
      <c r="G45"/>
      <c r="H45" t="e">
        <f t="shared" si="1"/>
        <v>#VALUE!</v>
      </c>
    </row>
    <row r="46" spans="1:8">
      <c r="A46">
        <v>45</v>
      </c>
      <c r="B46" s="6">
        <v>45512.5976157407</v>
      </c>
      <c r="C46" s="16"/>
      <c r="F46" s="10"/>
      <c r="G46"/>
      <c r="H46" t="e">
        <f t="shared" si="1"/>
        <v>#VALUE!</v>
      </c>
    </row>
    <row r="47" spans="1:8">
      <c r="A47">
        <v>46</v>
      </c>
      <c r="B47" s="6">
        <v>45512.5976273148</v>
      </c>
      <c r="C47" s="9"/>
      <c r="F47" s="10"/>
      <c r="G47"/>
      <c r="H47" t="e">
        <f t="shared" si="1"/>
        <v>#VALUE!</v>
      </c>
    </row>
    <row r="48" spans="1:8">
      <c r="A48">
        <v>47</v>
      </c>
      <c r="B48" s="6">
        <v>45512.5976273148</v>
      </c>
      <c r="C48" s="12"/>
      <c r="F48" s="10"/>
      <c r="G48"/>
      <c r="H48" t="e">
        <f t="shared" si="1"/>
        <v>#VALUE!</v>
      </c>
    </row>
    <row r="49" spans="1:8">
      <c r="A49">
        <v>48</v>
      </c>
      <c r="B49" s="6">
        <v>45512.5976388889</v>
      </c>
      <c r="C49" s="11"/>
      <c r="F49" s="10"/>
      <c r="G49"/>
      <c r="H49" t="e">
        <f t="shared" si="1"/>
        <v>#VALUE!</v>
      </c>
    </row>
    <row r="50" spans="1:8">
      <c r="A50">
        <v>49</v>
      </c>
      <c r="B50" s="6">
        <v>45512.5976388889</v>
      </c>
      <c r="C50" s="9"/>
      <c r="F50" s="10"/>
      <c r="G50"/>
      <c r="H50" t="e">
        <f t="shared" si="1"/>
        <v>#VALUE!</v>
      </c>
    </row>
    <row r="51" spans="1:8">
      <c r="A51">
        <v>50</v>
      </c>
      <c r="B51" s="6">
        <v>45512.597650463</v>
      </c>
      <c r="C51" s="9"/>
      <c r="F51" s="10"/>
      <c r="G51"/>
      <c r="H51" t="e">
        <f t="shared" si="1"/>
        <v>#VALUE!</v>
      </c>
    </row>
    <row r="52" spans="1:8">
      <c r="A52">
        <v>51</v>
      </c>
      <c r="B52" s="6">
        <v>45512.597650463</v>
      </c>
      <c r="C52" s="9"/>
      <c r="F52" s="10"/>
      <c r="G52"/>
      <c r="H52" t="e">
        <f t="shared" si="1"/>
        <v>#VALUE!</v>
      </c>
    </row>
    <row r="53" spans="1:8">
      <c r="A53">
        <v>52</v>
      </c>
      <c r="B53" s="6">
        <v>45512.597662037</v>
      </c>
      <c r="C53" s="15"/>
      <c r="F53" s="10"/>
      <c r="G53"/>
      <c r="H53" t="e">
        <f t="shared" si="1"/>
        <v>#VALUE!</v>
      </c>
    </row>
    <row r="54" spans="1:8">
      <c r="A54">
        <v>53</v>
      </c>
      <c r="B54" s="6">
        <v>45512.597662037</v>
      </c>
      <c r="C54" s="5"/>
      <c r="F54" s="10"/>
      <c r="G54"/>
      <c r="H54" t="e">
        <f t="shared" si="1"/>
        <v>#VALUE!</v>
      </c>
    </row>
    <row r="55" spans="1:8">
      <c r="A55">
        <v>54</v>
      </c>
      <c r="B55" s="6">
        <v>45512.5976736111</v>
      </c>
      <c r="C55" s="9"/>
      <c r="F55" s="10"/>
      <c r="G55"/>
      <c r="H55" t="e">
        <f t="shared" si="1"/>
        <v>#VALUE!</v>
      </c>
    </row>
    <row r="56" spans="1:8">
      <c r="A56">
        <v>55</v>
      </c>
      <c r="B56" s="6">
        <v>45512.5976736111</v>
      </c>
      <c r="C56" s="17"/>
      <c r="F56" s="10"/>
      <c r="G56"/>
      <c r="H56" t="e">
        <f t="shared" si="1"/>
        <v>#VALUE!</v>
      </c>
    </row>
    <row r="57" spans="1:8">
      <c r="A57">
        <v>56</v>
      </c>
      <c r="B57" s="6">
        <v>45512.5976851852</v>
      </c>
      <c r="C57" s="17"/>
      <c r="F57" s="10"/>
      <c r="G57"/>
      <c r="H57" t="e">
        <f t="shared" si="1"/>
        <v>#VALUE!</v>
      </c>
    </row>
    <row r="58" spans="1:8">
      <c r="A58">
        <v>57</v>
      </c>
      <c r="B58" s="6">
        <v>45512.5976851852</v>
      </c>
      <c r="C58" s="18"/>
      <c r="F58" s="10"/>
      <c r="G58"/>
      <c r="H58" t="e">
        <f t="shared" si="1"/>
        <v>#VALUE!</v>
      </c>
    </row>
    <row r="59" spans="1:8">
      <c r="A59">
        <v>58</v>
      </c>
      <c r="B59" s="6">
        <v>45512.5976967593</v>
      </c>
      <c r="C59" s="17"/>
      <c r="F59" s="10"/>
      <c r="G59"/>
      <c r="H59" t="e">
        <f t="shared" si="1"/>
        <v>#VALUE!</v>
      </c>
    </row>
    <row r="60" spans="1:8">
      <c r="A60">
        <v>59</v>
      </c>
      <c r="B60" s="6">
        <v>45512.5976967593</v>
      </c>
      <c r="C60" s="9"/>
      <c r="F60" s="10"/>
      <c r="G60"/>
      <c r="H60" t="e">
        <f t="shared" si="1"/>
        <v>#VALUE!</v>
      </c>
    </row>
    <row r="61" spans="1:8">
      <c r="A61">
        <v>60</v>
      </c>
      <c r="B61" s="6">
        <v>45512.5977083333</v>
      </c>
      <c r="C61" s="11"/>
      <c r="F61" s="10"/>
      <c r="G61"/>
      <c r="H61" t="e">
        <f t="shared" si="1"/>
        <v>#VALUE!</v>
      </c>
    </row>
    <row r="62" spans="1:8">
      <c r="A62">
        <v>61</v>
      </c>
      <c r="B62" s="6">
        <v>45512.5977083333</v>
      </c>
      <c r="C62" s="9"/>
      <c r="F62" s="10"/>
      <c r="G62"/>
      <c r="H62" t="e">
        <f t="shared" si="1"/>
        <v>#VALUE!</v>
      </c>
    </row>
    <row r="63" spans="1:8">
      <c r="A63">
        <v>62</v>
      </c>
      <c r="B63" s="6">
        <v>45512.5977199074</v>
      </c>
      <c r="C63" s="5"/>
      <c r="F63" s="10"/>
      <c r="G63"/>
      <c r="H63" t="e">
        <f t="shared" si="1"/>
        <v>#VALUE!</v>
      </c>
    </row>
    <row r="64" spans="1:8">
      <c r="A64">
        <v>63</v>
      </c>
      <c r="B64" s="6">
        <v>45512.5977199074</v>
      </c>
      <c r="C64" s="14"/>
      <c r="F64" s="10"/>
      <c r="G64"/>
      <c r="H64" t="e">
        <f t="shared" si="1"/>
        <v>#VALUE!</v>
      </c>
    </row>
    <row r="65" spans="1:8">
      <c r="A65">
        <v>64</v>
      </c>
      <c r="B65" s="6">
        <v>45512.5977314815</v>
      </c>
      <c r="C65" s="5"/>
      <c r="F65" s="10"/>
      <c r="G65"/>
      <c r="H65" t="e">
        <f t="shared" si="1"/>
        <v>#VALUE!</v>
      </c>
    </row>
    <row r="66" spans="1:8">
      <c r="A66">
        <v>65</v>
      </c>
      <c r="B66" s="6">
        <v>45512.5977314815</v>
      </c>
      <c r="C66" s="9"/>
      <c r="F66" s="10"/>
      <c r="G66"/>
      <c r="H66" t="e">
        <f t="shared" ref="H66:H97" si="2">RIGHT(G66,LEN(G66)-FIND("|",SUBSTITUTE(G66,"\","|",LEN(G66)-LEN(SUBSTITUTE(G66,"\","")))))</f>
        <v>#VALUE!</v>
      </c>
    </row>
    <row r="67" spans="1:8">
      <c r="A67">
        <v>66</v>
      </c>
      <c r="B67" s="6">
        <v>45512.5977430556</v>
      </c>
      <c r="C67" s="9"/>
      <c r="F67" s="10"/>
      <c r="G67"/>
      <c r="H67" t="e">
        <f t="shared" si="2"/>
        <v>#VALUE!</v>
      </c>
    </row>
    <row r="68" spans="1:8">
      <c r="A68">
        <v>67</v>
      </c>
      <c r="B68" s="6">
        <v>45512.5977430556</v>
      </c>
      <c r="C68" s="9"/>
      <c r="F68" s="10"/>
      <c r="G68"/>
      <c r="H68" t="e">
        <f t="shared" si="2"/>
        <v>#VALUE!</v>
      </c>
    </row>
    <row r="69" spans="1:8">
      <c r="A69">
        <v>68</v>
      </c>
      <c r="B69" s="6">
        <v>45512.5977546296</v>
      </c>
      <c r="C69" s="33"/>
      <c r="F69" s="10"/>
      <c r="G69"/>
      <c r="H69" t="e">
        <f t="shared" si="2"/>
        <v>#VALUE!</v>
      </c>
    </row>
    <row r="70" spans="1:8">
      <c r="A70">
        <v>69</v>
      </c>
      <c r="B70" s="34">
        <v>45512.5977662037</v>
      </c>
      <c r="C70" s="5"/>
      <c r="F70" s="10"/>
      <c r="G70"/>
      <c r="H70" t="e">
        <f t="shared" si="2"/>
        <v>#VALUE!</v>
      </c>
    </row>
    <row r="71" spans="1:8">
      <c r="A71">
        <v>70</v>
      </c>
      <c r="B71" s="6">
        <v>45512.5977662037</v>
      </c>
      <c r="C71" s="5"/>
      <c r="F71" s="10"/>
      <c r="G71"/>
      <c r="H71" t="e">
        <f t="shared" si="2"/>
        <v>#VALUE!</v>
      </c>
    </row>
    <row r="72" spans="1:8">
      <c r="A72">
        <v>71</v>
      </c>
      <c r="B72" s="6">
        <v>45512.5977777778</v>
      </c>
      <c r="C72" s="5"/>
      <c r="F72" s="10"/>
      <c r="G72"/>
      <c r="H72" t="e">
        <f t="shared" si="2"/>
        <v>#VALUE!</v>
      </c>
    </row>
    <row r="73" spans="1:8">
      <c r="A73">
        <v>72</v>
      </c>
      <c r="B73" s="6">
        <v>45512.5977777778</v>
      </c>
      <c r="C73" s="18"/>
      <c r="F73" s="10"/>
      <c r="G73"/>
      <c r="H73" t="e">
        <f t="shared" si="2"/>
        <v>#VALUE!</v>
      </c>
    </row>
    <row r="74" spans="1:8">
      <c r="A74" s="13">
        <v>73</v>
      </c>
      <c r="B74" s="6">
        <v>45512.5977893519</v>
      </c>
      <c r="C74" s="35"/>
      <c r="F74" s="10"/>
      <c r="G74"/>
      <c r="H74" t="e">
        <f t="shared" si="2"/>
        <v>#VALUE!</v>
      </c>
    </row>
    <row r="75" spans="1:8">
      <c r="A75">
        <v>74</v>
      </c>
      <c r="B75" s="6">
        <v>45512.5977893519</v>
      </c>
      <c r="C75" s="18"/>
      <c r="F75" s="10"/>
      <c r="G75" s="5"/>
      <c r="H75" t="e">
        <f t="shared" si="2"/>
        <v>#VALUE!</v>
      </c>
    </row>
    <row r="76" spans="1:8">
      <c r="A76">
        <v>75</v>
      </c>
      <c r="B76" s="6">
        <v>45512.5978009259</v>
      </c>
      <c r="C76" s="18"/>
      <c r="F76" s="10"/>
      <c r="G76"/>
      <c r="H76" t="e">
        <f t="shared" si="2"/>
        <v>#VALUE!</v>
      </c>
    </row>
    <row r="77" spans="1:8">
      <c r="A77">
        <v>76</v>
      </c>
      <c r="B77" s="6">
        <v>45512.5978009259</v>
      </c>
      <c r="C77" s="36"/>
      <c r="F77" s="10"/>
      <c r="G77"/>
      <c r="H77" t="e">
        <f t="shared" si="2"/>
        <v>#VALUE!</v>
      </c>
    </row>
    <row r="78" spans="1:8">
      <c r="A78">
        <v>77</v>
      </c>
      <c r="B78" s="6">
        <v>45512.5978125</v>
      </c>
      <c r="C78" s="5"/>
      <c r="F78" s="10"/>
      <c r="G78"/>
      <c r="H78" t="e">
        <f t="shared" si="2"/>
        <v>#VALUE!</v>
      </c>
    </row>
    <row r="79" spans="1:8">
      <c r="A79">
        <v>78</v>
      </c>
      <c r="B79" s="6">
        <v>45512.5978125</v>
      </c>
      <c r="C79" s="5"/>
      <c r="F79" s="10"/>
      <c r="G79"/>
      <c r="H79" t="e">
        <f t="shared" si="2"/>
        <v>#VALUE!</v>
      </c>
    </row>
    <row r="80" spans="1:8">
      <c r="A80" s="13">
        <v>79</v>
      </c>
      <c r="B80" s="6">
        <v>45512.5978240741</v>
      </c>
      <c r="C80" s="5"/>
      <c r="F80" s="10"/>
      <c r="G80"/>
      <c r="H80" t="e">
        <f t="shared" si="2"/>
        <v>#VALUE!</v>
      </c>
    </row>
    <row r="81" spans="1:8">
      <c r="A81">
        <v>80</v>
      </c>
      <c r="B81" s="6">
        <v>45512.5978240741</v>
      </c>
      <c r="C81" s="5"/>
      <c r="F81" s="10"/>
      <c r="G81"/>
      <c r="H81" t="e">
        <f t="shared" si="2"/>
        <v>#VALUE!</v>
      </c>
    </row>
    <row r="82" spans="1:8">
      <c r="A82">
        <v>81</v>
      </c>
      <c r="B82" s="6">
        <v>45512.5978356482</v>
      </c>
      <c r="C82" s="5"/>
      <c r="F82" s="10"/>
      <c r="G82"/>
      <c r="H82" t="e">
        <f t="shared" si="2"/>
        <v>#VALUE!</v>
      </c>
    </row>
    <row r="83" spans="1:8">
      <c r="A83">
        <v>82</v>
      </c>
      <c r="B83" s="6">
        <v>45512.5978472222</v>
      </c>
      <c r="C83" s="5"/>
      <c r="F83" s="10"/>
      <c r="G83"/>
      <c r="H83" t="e">
        <f t="shared" si="2"/>
        <v>#VALUE!</v>
      </c>
    </row>
    <row r="84" spans="1:8">
      <c r="A84">
        <v>83</v>
      </c>
      <c r="B84" s="6">
        <v>45512.5978472222</v>
      </c>
      <c r="C84" s="5"/>
      <c r="F84" s="10"/>
      <c r="G84"/>
      <c r="H84" t="e">
        <f t="shared" si="2"/>
        <v>#VALUE!</v>
      </c>
    </row>
    <row r="85" spans="1:8">
      <c r="A85">
        <v>84</v>
      </c>
      <c r="B85" s="6">
        <v>45512.5978587963</v>
      </c>
      <c r="C85" s="5"/>
      <c r="F85" s="10"/>
      <c r="G85"/>
      <c r="H85" t="e">
        <f t="shared" si="2"/>
        <v>#VALUE!</v>
      </c>
    </row>
    <row r="86" spans="1:8">
      <c r="A86">
        <v>85</v>
      </c>
      <c r="B86" s="6">
        <v>45512.5978587963</v>
      </c>
      <c r="C86" s="5"/>
      <c r="F86" s="10"/>
      <c r="G86"/>
      <c r="H86" t="e">
        <f t="shared" si="2"/>
        <v>#VALUE!</v>
      </c>
    </row>
    <row r="87" spans="1:8">
      <c r="A87">
        <v>86</v>
      </c>
      <c r="B87" s="6">
        <v>45512.5978703704</v>
      </c>
      <c r="C87" s="5"/>
      <c r="F87" s="10"/>
      <c r="G87"/>
      <c r="H87" t="e">
        <f t="shared" si="2"/>
        <v>#VALUE!</v>
      </c>
    </row>
    <row r="88" spans="1:8">
      <c r="A88">
        <v>87</v>
      </c>
      <c r="B88" s="6">
        <v>45512.5978819444</v>
      </c>
      <c r="C88" s="5"/>
      <c r="F88" s="10"/>
      <c r="G88"/>
      <c r="H88" t="e">
        <f t="shared" si="2"/>
        <v>#VALUE!</v>
      </c>
    </row>
    <row r="89" spans="1:8">
      <c r="A89">
        <v>88</v>
      </c>
      <c r="B89" s="6">
        <v>45512.5978819444</v>
      </c>
      <c r="C89" s="9"/>
      <c r="F89" s="10"/>
      <c r="G89"/>
      <c r="H89" t="e">
        <f t="shared" si="2"/>
        <v>#VALUE!</v>
      </c>
    </row>
    <row r="90" spans="1:8">
      <c r="A90">
        <v>89</v>
      </c>
      <c r="B90" s="6">
        <v>45512.5978935185</v>
      </c>
      <c r="C90" s="9"/>
      <c r="F90" s="10"/>
      <c r="G90"/>
      <c r="H90" t="e">
        <f t="shared" si="2"/>
        <v>#VALUE!</v>
      </c>
    </row>
    <row r="91" spans="1:8">
      <c r="A91">
        <v>90</v>
      </c>
      <c r="B91" s="6">
        <v>45512.5978935185</v>
      </c>
      <c r="C91" s="9"/>
      <c r="F91" s="10"/>
      <c r="G91"/>
      <c r="H91" t="e">
        <f t="shared" si="2"/>
        <v>#VALUE!</v>
      </c>
    </row>
    <row r="92" spans="1:8">
      <c r="A92">
        <v>91</v>
      </c>
      <c r="B92" s="6">
        <v>45512.5979050926</v>
      </c>
      <c r="C92" s="9"/>
      <c r="F92" s="10"/>
      <c r="G92"/>
      <c r="H92" t="e">
        <f t="shared" si="2"/>
        <v>#VALUE!</v>
      </c>
    </row>
    <row r="93" spans="1:8">
      <c r="A93">
        <v>92</v>
      </c>
      <c r="B93" s="6">
        <v>45512.5979050926</v>
      </c>
      <c r="C93" s="9"/>
      <c r="F93" s="10"/>
      <c r="G93"/>
      <c r="H93" t="e">
        <f t="shared" si="2"/>
        <v>#VALUE!</v>
      </c>
    </row>
    <row r="94" spans="1:8">
      <c r="A94">
        <v>93</v>
      </c>
      <c r="B94" s="6">
        <v>45512.5979166667</v>
      </c>
      <c r="C94" s="9"/>
      <c r="F94" s="10"/>
      <c r="G94"/>
      <c r="H94" t="e">
        <f t="shared" si="2"/>
        <v>#VALUE!</v>
      </c>
    </row>
    <row r="95" spans="1:8">
      <c r="A95">
        <v>94</v>
      </c>
      <c r="B95" s="6">
        <v>45512.5979282407</v>
      </c>
      <c r="C95" s="37"/>
      <c r="F95" s="10"/>
      <c r="G95"/>
      <c r="H95" t="e">
        <f t="shared" si="2"/>
        <v>#VALUE!</v>
      </c>
    </row>
    <row r="96" spans="1:8">
      <c r="A96">
        <v>95</v>
      </c>
      <c r="B96" s="6">
        <v>45512.5979282407</v>
      </c>
      <c r="C96" s="37"/>
      <c r="F96" s="10"/>
      <c r="G96"/>
      <c r="H96" t="e">
        <f t="shared" si="2"/>
        <v>#VALUE!</v>
      </c>
    </row>
    <row r="97" spans="1:8">
      <c r="A97">
        <v>96</v>
      </c>
      <c r="B97" s="6">
        <v>45512.5979398148</v>
      </c>
      <c r="C97" s="37"/>
      <c r="F97" s="10"/>
      <c r="G97"/>
      <c r="H97" t="e">
        <f t="shared" si="2"/>
        <v>#VALUE!</v>
      </c>
    </row>
    <row r="98" spans="1:8">
      <c r="A98">
        <v>97</v>
      </c>
      <c r="B98" s="6">
        <v>45512.5979398148</v>
      </c>
      <c r="C98" s="37"/>
      <c r="F98" s="10"/>
      <c r="G98"/>
      <c r="H98" t="e">
        <f t="shared" ref="H98:H129" si="3">RIGHT(G98,LEN(G98)-FIND("|",SUBSTITUTE(G98,"\","|",LEN(G98)-LEN(SUBSTITUTE(G98,"\","")))))</f>
        <v>#VALUE!</v>
      </c>
    </row>
    <row r="99" spans="1:8">
      <c r="A99">
        <v>98</v>
      </c>
      <c r="B99" s="6">
        <v>45512.5979513889</v>
      </c>
      <c r="C99" s="38"/>
      <c r="F99" s="10"/>
      <c r="G99"/>
      <c r="H99" t="e">
        <f t="shared" si="3"/>
        <v>#VALUE!</v>
      </c>
    </row>
    <row r="100" spans="1:8">
      <c r="A100">
        <v>99</v>
      </c>
      <c r="B100" s="6">
        <v>45512.5979513889</v>
      </c>
      <c r="C100" s="37"/>
      <c r="F100" s="10"/>
      <c r="G100" s="5"/>
      <c r="H100" t="e">
        <f t="shared" si="3"/>
        <v>#VALUE!</v>
      </c>
    </row>
    <row r="101" spans="1:8">
      <c r="A101">
        <v>100</v>
      </c>
      <c r="B101" s="6">
        <v>45512.597962963</v>
      </c>
      <c r="C101" s="39"/>
      <c r="F101" s="10"/>
      <c r="G101"/>
      <c r="H101" t="e">
        <f t="shared" si="3"/>
        <v>#VALUE!</v>
      </c>
    </row>
    <row r="102" spans="1:8">
      <c r="A102">
        <v>101</v>
      </c>
      <c r="B102" s="6">
        <v>45512.597962963</v>
      </c>
      <c r="C102" s="7"/>
      <c r="F102" s="10"/>
      <c r="G102" s="5"/>
      <c r="H102" t="e">
        <f t="shared" si="3"/>
        <v>#VALUE!</v>
      </c>
    </row>
    <row r="103" spans="1:8">
      <c r="A103">
        <v>102</v>
      </c>
      <c r="B103" s="6">
        <v>45512.597974537</v>
      </c>
      <c r="C103" s="9"/>
      <c r="F103" s="10"/>
      <c r="G103"/>
      <c r="H103" t="e">
        <f t="shared" si="3"/>
        <v>#VALUE!</v>
      </c>
    </row>
    <row r="104" spans="1:8">
      <c r="A104">
        <v>103</v>
      </c>
      <c r="B104" s="6">
        <v>45512.597974537</v>
      </c>
      <c r="C104" s="40"/>
      <c r="F104" s="10"/>
      <c r="G104"/>
      <c r="H104" t="e">
        <f t="shared" si="3"/>
        <v>#VALUE!</v>
      </c>
    </row>
    <row r="105" spans="1:8">
      <c r="A105">
        <v>104</v>
      </c>
      <c r="B105" s="6">
        <v>45512.5979861111</v>
      </c>
      <c r="C105" s="41"/>
      <c r="F105" s="10"/>
      <c r="G105"/>
      <c r="H105" t="e">
        <f t="shared" si="3"/>
        <v>#VALUE!</v>
      </c>
    </row>
    <row r="106" spans="1:8">
      <c r="A106">
        <v>105</v>
      </c>
      <c r="B106" s="6">
        <v>45512.5979861111</v>
      </c>
      <c r="C106" s="41"/>
      <c r="F106" s="10"/>
      <c r="G106"/>
      <c r="H106" t="e">
        <f t="shared" si="3"/>
        <v>#VALUE!</v>
      </c>
    </row>
    <row r="107" spans="1:8">
      <c r="A107">
        <v>106</v>
      </c>
      <c r="B107" s="6">
        <v>45512.5979976852</v>
      </c>
      <c r="C107" s="40"/>
      <c r="F107" s="10"/>
      <c r="G107"/>
      <c r="H107" t="e">
        <f t="shared" si="3"/>
        <v>#VALUE!</v>
      </c>
    </row>
    <row r="108" spans="1:8">
      <c r="A108">
        <v>107</v>
      </c>
      <c r="B108" s="6">
        <v>45512.5980092593</v>
      </c>
      <c r="C108" s="42"/>
      <c r="F108" s="10"/>
      <c r="G108"/>
      <c r="H108" t="e">
        <f t="shared" si="3"/>
        <v>#VALUE!</v>
      </c>
    </row>
    <row r="109" spans="1:8">
      <c r="A109">
        <v>108</v>
      </c>
      <c r="B109" s="6">
        <v>45512.5980092593</v>
      </c>
      <c r="C109" s="43"/>
      <c r="F109" s="10"/>
      <c r="G109"/>
      <c r="H109" t="e">
        <f t="shared" si="3"/>
        <v>#VALUE!</v>
      </c>
    </row>
    <row r="110" spans="1:8">
      <c r="A110">
        <v>109</v>
      </c>
      <c r="B110" s="6">
        <v>45512.5980208333</v>
      </c>
      <c r="C110" s="5"/>
      <c r="F110" s="10"/>
      <c r="G110"/>
      <c r="H110" t="e">
        <f t="shared" si="3"/>
        <v>#VALUE!</v>
      </c>
    </row>
    <row r="111" spans="1:8">
      <c r="A111">
        <v>110</v>
      </c>
      <c r="B111" s="6">
        <v>45512.5980208333</v>
      </c>
      <c r="C111" s="9"/>
      <c r="F111" s="10"/>
      <c r="G111"/>
      <c r="H111" t="e">
        <f t="shared" si="3"/>
        <v>#VALUE!</v>
      </c>
    </row>
    <row r="112" spans="1:8">
      <c r="A112">
        <v>111</v>
      </c>
      <c r="B112" s="6">
        <v>45512.5980324074</v>
      </c>
      <c r="C112"/>
      <c r="F112" s="10"/>
      <c r="G112" s="5"/>
      <c r="H112" t="e">
        <f t="shared" si="3"/>
        <v>#VALUE!</v>
      </c>
    </row>
    <row r="113" spans="1:8">
      <c r="A113">
        <v>112</v>
      </c>
      <c r="B113" s="6">
        <v>45512.5980324074</v>
      </c>
      <c r="C113"/>
      <c r="F113" s="10"/>
      <c r="G113"/>
      <c r="H113" t="e">
        <f t="shared" si="3"/>
        <v>#VALUE!</v>
      </c>
    </row>
    <row r="114" spans="1:8">
      <c r="A114">
        <v>113</v>
      </c>
      <c r="B114" s="6">
        <v>45512.5980439815</v>
      </c>
      <c r="C114"/>
      <c r="F114" s="10"/>
      <c r="G114"/>
      <c r="H114" t="e">
        <f t="shared" si="3"/>
        <v>#VALUE!</v>
      </c>
    </row>
    <row r="115" spans="1:8">
      <c r="A115">
        <v>114</v>
      </c>
      <c r="B115" s="6">
        <v>45512.5980439815</v>
      </c>
      <c r="C115" s="5"/>
      <c r="F115" s="10"/>
      <c r="G115"/>
      <c r="H115" t="e">
        <f t="shared" si="3"/>
        <v>#VALUE!</v>
      </c>
    </row>
    <row r="116" spans="1:8">
      <c r="A116">
        <v>115</v>
      </c>
      <c r="B116" s="6">
        <v>45512.5980555556</v>
      </c>
      <c r="C116"/>
      <c r="F116" s="10"/>
      <c r="G116"/>
      <c r="H116" t="e">
        <f t="shared" si="3"/>
        <v>#VALUE!</v>
      </c>
    </row>
    <row r="117" spans="1:8">
      <c r="A117">
        <v>116</v>
      </c>
      <c r="B117" s="6">
        <v>45512.5980555556</v>
      </c>
      <c r="C117" s="1"/>
      <c r="F117" s="10"/>
      <c r="G117"/>
      <c r="H117" t="e">
        <f t="shared" si="3"/>
        <v>#VALUE!</v>
      </c>
    </row>
    <row r="118" spans="1:8">
      <c r="A118">
        <v>117</v>
      </c>
      <c r="B118" s="6">
        <v>45512.5980671296</v>
      </c>
      <c r="C118"/>
      <c r="F118" s="10"/>
      <c r="G118"/>
      <c r="H118" t="e">
        <f t="shared" si="3"/>
        <v>#VALUE!</v>
      </c>
    </row>
    <row r="119" spans="1:8">
      <c r="A119">
        <v>118</v>
      </c>
      <c r="B119" s="6">
        <v>45512.5980671296</v>
      </c>
      <c r="C119" s="29"/>
      <c r="F119" s="10"/>
      <c r="G119"/>
      <c r="H119" t="e">
        <f t="shared" si="3"/>
        <v>#VALUE!</v>
      </c>
    </row>
    <row r="120" spans="1:8">
      <c r="A120">
        <v>119</v>
      </c>
      <c r="B120" s="6">
        <v>45512.5980787037</v>
      </c>
      <c r="C120"/>
      <c r="F120" s="10"/>
      <c r="G120"/>
      <c r="H120" t="e">
        <f t="shared" si="3"/>
        <v>#VALUE!</v>
      </c>
    </row>
    <row r="121" spans="1:8">
      <c r="A121">
        <v>120</v>
      </c>
      <c r="B121" s="6">
        <v>45512.5980787037</v>
      </c>
      <c r="C121"/>
      <c r="F121" s="10"/>
      <c r="G121"/>
      <c r="H121" t="e">
        <f t="shared" si="3"/>
        <v>#VALUE!</v>
      </c>
    </row>
    <row r="122" spans="1:8">
      <c r="A122">
        <v>121</v>
      </c>
      <c r="B122" s="6">
        <v>45512.5980902778</v>
      </c>
      <c r="C122"/>
      <c r="F122" s="10"/>
      <c r="G122"/>
      <c r="H122" t="e">
        <f t="shared" si="3"/>
        <v>#VALUE!</v>
      </c>
    </row>
    <row r="123" spans="1:8">
      <c r="A123">
        <v>122</v>
      </c>
      <c r="B123" s="6">
        <v>45512.5980902778</v>
      </c>
      <c r="C123"/>
      <c r="F123" s="10"/>
      <c r="G123"/>
      <c r="H123" t="e">
        <f t="shared" si="3"/>
        <v>#VALUE!</v>
      </c>
    </row>
    <row r="124" spans="1:8">
      <c r="A124">
        <v>123</v>
      </c>
      <c r="B124" s="6">
        <v>45512.5981018519</v>
      </c>
      <c r="C124"/>
      <c r="F124" s="10"/>
      <c r="G124"/>
      <c r="H124" t="e">
        <f t="shared" si="3"/>
        <v>#VALUE!</v>
      </c>
    </row>
    <row r="125" spans="1:8">
      <c r="A125">
        <v>124</v>
      </c>
      <c r="B125" s="6">
        <v>45512.5981018519</v>
      </c>
      <c r="C125" s="9"/>
      <c r="F125" s="10"/>
      <c r="G125"/>
      <c r="H125" t="e">
        <f t="shared" si="3"/>
        <v>#VALUE!</v>
      </c>
    </row>
    <row r="126" spans="1:8">
      <c r="A126">
        <v>125</v>
      </c>
      <c r="B126" s="6">
        <v>45512.5981134259</v>
      </c>
      <c r="C126" s="1"/>
      <c r="F126" s="10"/>
      <c r="G126"/>
      <c r="H126" t="e">
        <f t="shared" si="3"/>
        <v>#VALUE!</v>
      </c>
    </row>
    <row r="127" spans="1:8">
      <c r="A127">
        <v>126</v>
      </c>
      <c r="B127" s="6">
        <v>45512.5981134259</v>
      </c>
      <c r="C127"/>
      <c r="F127" s="10"/>
      <c r="G127"/>
      <c r="H127" t="e">
        <f t="shared" si="3"/>
        <v>#VALUE!</v>
      </c>
    </row>
    <row r="128" spans="1:8">
      <c r="A128">
        <v>127</v>
      </c>
      <c r="B128" s="6">
        <v>45512.598125</v>
      </c>
      <c r="C128"/>
      <c r="F128" s="10"/>
      <c r="G128"/>
      <c r="H128" t="e">
        <f t="shared" si="3"/>
        <v>#VALUE!</v>
      </c>
    </row>
    <row r="129" spans="1:8">
      <c r="A129">
        <v>128</v>
      </c>
      <c r="B129" s="6">
        <v>45512.598125</v>
      </c>
      <c r="C129" s="7"/>
      <c r="F129" s="10"/>
      <c r="G129"/>
      <c r="H129" t="e">
        <f t="shared" si="3"/>
        <v>#VALUE!</v>
      </c>
    </row>
    <row r="130" spans="1:8">
      <c r="A130">
        <v>129</v>
      </c>
      <c r="B130" s="6">
        <v>45512.5981365741</v>
      </c>
      <c r="C130" s="5"/>
      <c r="F130" s="10"/>
      <c r="G130"/>
      <c r="H130" t="e">
        <f t="shared" ref="H130:H138" si="4">RIGHT(G130,LEN(G130)-FIND("|",SUBSTITUTE(G130,"\","|",LEN(G130)-LEN(SUBSTITUTE(G130,"\","")))))</f>
        <v>#VALUE!</v>
      </c>
    </row>
    <row r="131" spans="1:8">
      <c r="A131">
        <v>130</v>
      </c>
      <c r="B131" s="6">
        <v>45512.5981365741</v>
      </c>
      <c r="C131" s="42"/>
      <c r="F131" s="10"/>
      <c r="G131"/>
      <c r="H131" t="e">
        <f t="shared" si="4"/>
        <v>#VALUE!</v>
      </c>
    </row>
    <row r="132" spans="1:8">
      <c r="A132">
        <v>131</v>
      </c>
      <c r="B132" s="6">
        <v>45512.5981481482</v>
      </c>
      <c r="C132" s="5"/>
      <c r="F132" s="10"/>
      <c r="G132"/>
      <c r="H132" t="e">
        <f t="shared" si="4"/>
        <v>#VALUE!</v>
      </c>
    </row>
    <row r="133" spans="1:8">
      <c r="A133">
        <v>132</v>
      </c>
      <c r="B133" s="6">
        <v>45512.5981597222</v>
      </c>
      <c r="C133" s="9"/>
      <c r="F133" s="10"/>
      <c r="G133"/>
      <c r="H133" t="e">
        <f t="shared" si="4"/>
        <v>#VALUE!</v>
      </c>
    </row>
    <row r="134" spans="1:8">
      <c r="A134">
        <v>133</v>
      </c>
      <c r="B134" s="6">
        <v>45512.5981597222</v>
      </c>
      <c r="C134" s="9"/>
      <c r="F134" s="10"/>
      <c r="G134"/>
      <c r="H134" t="e">
        <f t="shared" si="4"/>
        <v>#VALUE!</v>
      </c>
    </row>
    <row r="135" spans="1:8">
      <c r="A135">
        <v>134</v>
      </c>
      <c r="B135" s="6">
        <v>45512.5981712963</v>
      </c>
      <c r="C135"/>
      <c r="F135" s="10"/>
      <c r="G135"/>
      <c r="H135" t="e">
        <f t="shared" si="4"/>
        <v>#VALUE!</v>
      </c>
    </row>
    <row r="136" spans="1:8">
      <c r="A136">
        <v>135</v>
      </c>
      <c r="B136" s="6">
        <v>45512.5981712963</v>
      </c>
      <c r="C136" s="5"/>
      <c r="F136" s="10"/>
      <c r="G136" s="5"/>
      <c r="H136" t="e">
        <f t="shared" si="4"/>
        <v>#VALUE!</v>
      </c>
    </row>
    <row r="137" spans="1:8">
      <c r="A137">
        <v>136</v>
      </c>
      <c r="B137" s="6">
        <v>45512.5981828704</v>
      </c>
      <c r="C137" s="5"/>
      <c r="F137" s="10"/>
      <c r="G137" s="5"/>
      <c r="H137" t="e">
        <f t="shared" si="4"/>
        <v>#VALUE!</v>
      </c>
    </row>
    <row r="138" spans="1:8">
      <c r="A138">
        <v>137</v>
      </c>
      <c r="B138" s="6">
        <v>45512.5981828704</v>
      </c>
      <c r="C138" s="5"/>
      <c r="F138" s="10"/>
      <c r="G138" s="5"/>
      <c r="H138" t="e">
        <f t="shared" si="4"/>
        <v>#VALUE!</v>
      </c>
    </row>
  </sheetData>
  <dataValidations count="1">
    <dataValidation type="list" allowBlank="1" showInputMessage="1" showErrorMessage="1" sqref="J4">
      <formula1>$O$4:$O$15</formula1>
    </dataValidation>
  </dataValidations>
  <pageMargins left="0.7" right="0.7" top="0.75" bottom="0.75" header="0.3" footer="0.3"/>
  <pageSetup paperSize="1" orientation="portrait"/>
  <headerFooter/>
  <customProperties>
    <customPr name="_pios_id" r:id="rId7"/>
  </customPropertie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Button 2" r:id="rId3">
              <controlPr print="0" defaultSize="0">
                <anchor moveWithCells="1" sizeWithCells="1">
                  <from>
                    <xdr:col>11</xdr:col>
                    <xdr:colOff>0</xdr:colOff>
                    <xdr:row>23</xdr:row>
                    <xdr:rowOff>101600</xdr:rowOff>
                  </from>
                  <to>
                    <xdr:col>16</xdr:col>
                    <xdr:colOff>355600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4">
              <controlPr print="0" defaultSize="0">
                <anchor moveWithCells="1" sizeWithCells="1">
                  <from>
                    <xdr:col>10</xdr:col>
                    <xdr:colOff>990600</xdr:colOff>
                    <xdr:row>8</xdr:row>
                    <xdr:rowOff>50800</xdr:rowOff>
                  </from>
                  <to>
                    <xdr:col>16</xdr:col>
                    <xdr:colOff>190500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5">
              <controlPr print="0" defaultSize="0">
                <anchor moveWithCells="1" sizeWithCells="1">
                  <from>
                    <xdr:col>10</xdr:col>
                    <xdr:colOff>1028700</xdr:colOff>
                    <xdr:row>16</xdr:row>
                    <xdr:rowOff>6350</xdr:rowOff>
                  </from>
                  <to>
                    <xdr:col>16</xdr:col>
                    <xdr:colOff>228600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3"/>
  <sheetViews>
    <sheetView workbookViewId="0">
      <selection activeCell="C3" sqref="C3"/>
    </sheetView>
  </sheetViews>
  <sheetFormatPr defaultColWidth="8.81481481481481" defaultRowHeight="14.4" outlineLevelRow="2" outlineLevelCol="2"/>
  <cols>
    <col min="2" max="2" width="20.8148148148148" customWidth="1"/>
  </cols>
  <sheetData>
    <row r="1" spans="1:2">
      <c r="A1" t="s">
        <v>26</v>
      </c>
      <c r="B1" t="s">
        <v>27</v>
      </c>
    </row>
    <row r="2" spans="1:3">
      <c r="A2" t="s">
        <v>28</v>
      </c>
      <c r="B2" t="s">
        <v>29</v>
      </c>
      <c r="C2" s="4" t="s">
        <v>30</v>
      </c>
    </row>
    <row r="3" spans="1:3">
      <c r="A3" t="s">
        <v>31</v>
      </c>
      <c r="B3" t="s">
        <v>32</v>
      </c>
      <c r="C3" s="5" t="s">
        <v>33</v>
      </c>
    </row>
  </sheetData>
  <hyperlinks>
    <hyperlink ref="C3" r:id="rId3" display="Statistiques Clients - OneDrive (sharepoint.com)"/>
  </hyperlinks>
  <pageMargins left="0.7" right="0.7" top="0.75" bottom="0.75" header="0.3" footer="0.3"/>
  <headerFooter/>
  <customProperties>
    <customPr name="_pios_id" r:id="rId2"/>
  </customPropertie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4:C201"/>
  <sheetViews>
    <sheetView workbookViewId="0">
      <selection activeCell="A4" sqref="A4"/>
    </sheetView>
  </sheetViews>
  <sheetFormatPr defaultColWidth="8.81481481481481" defaultRowHeight="14.4" outlineLevelCol="2"/>
  <sheetData>
    <row r="4" spans="1:1">
      <c r="A4" t="s">
        <v>34</v>
      </c>
    </row>
    <row r="36" spans="3:3">
      <c r="C36" s="1"/>
    </row>
    <row r="68" spans="3:3">
      <c r="C68" s="2" t="s">
        <v>35</v>
      </c>
    </row>
    <row r="69" spans="3:3">
      <c r="C69" s="3" t="s">
        <v>36</v>
      </c>
    </row>
    <row r="70" spans="3:3">
      <c r="C70" s="2" t="s">
        <v>37</v>
      </c>
    </row>
    <row r="71" spans="3:3">
      <c r="C71" s="3" t="s">
        <v>38</v>
      </c>
    </row>
    <row r="72" spans="3:3">
      <c r="C72" s="2" t="s">
        <v>39</v>
      </c>
    </row>
    <row r="73" spans="3:3">
      <c r="C73" s="3" t="s">
        <v>40</v>
      </c>
    </row>
    <row r="74" spans="3:3">
      <c r="C74" s="2" t="s">
        <v>41</v>
      </c>
    </row>
    <row r="75" spans="3:3">
      <c r="C75" s="3" t="s">
        <v>42</v>
      </c>
    </row>
    <row r="76" spans="3:3">
      <c r="C76" s="2" t="s">
        <v>43</v>
      </c>
    </row>
    <row r="77" spans="3:3">
      <c r="C77" s="3" t="s">
        <v>44</v>
      </c>
    </row>
    <row r="78" spans="3:3">
      <c r="C78" s="2" t="s">
        <v>45</v>
      </c>
    </row>
    <row r="79" spans="3:3">
      <c r="C79" s="3" t="s">
        <v>46</v>
      </c>
    </row>
    <row r="80" spans="3:3">
      <c r="C80" s="2" t="s">
        <v>47</v>
      </c>
    </row>
    <row r="81" spans="3:3">
      <c r="C81" s="3" t="s">
        <v>48</v>
      </c>
    </row>
    <row r="82" spans="3:3">
      <c r="C82" s="2" t="s">
        <v>49</v>
      </c>
    </row>
    <row r="83" spans="3:3">
      <c r="C83" s="3" t="s">
        <v>50</v>
      </c>
    </row>
    <row r="84" spans="3:3">
      <c r="C84" s="2" t="s">
        <v>51</v>
      </c>
    </row>
    <row r="85" spans="3:3">
      <c r="C85" s="3" t="s">
        <v>52</v>
      </c>
    </row>
    <row r="86" spans="3:3">
      <c r="C86" s="2" t="s">
        <v>53</v>
      </c>
    </row>
    <row r="87" spans="3:3">
      <c r="C87" s="3" t="s">
        <v>54</v>
      </c>
    </row>
    <row r="88" spans="3:3">
      <c r="C88" s="2" t="s">
        <v>55</v>
      </c>
    </row>
    <row r="89" spans="3:3">
      <c r="C89" s="3" t="s">
        <v>56</v>
      </c>
    </row>
    <row r="90" spans="3:3">
      <c r="C90" s="2" t="s">
        <v>57</v>
      </c>
    </row>
    <row r="91" spans="3:3">
      <c r="C91" s="3" t="s">
        <v>58</v>
      </c>
    </row>
    <row r="92" spans="3:3">
      <c r="C92" s="2" t="s">
        <v>59</v>
      </c>
    </row>
    <row r="93" spans="3:3">
      <c r="C93" s="3" t="s">
        <v>60</v>
      </c>
    </row>
    <row r="94" spans="3:3">
      <c r="C94" s="2" t="s">
        <v>61</v>
      </c>
    </row>
    <row r="95" spans="3:3">
      <c r="C95" s="3" t="s">
        <v>62</v>
      </c>
    </row>
    <row r="96" spans="3:3">
      <c r="C96" s="2" t="s">
        <v>63</v>
      </c>
    </row>
    <row r="97" spans="3:3">
      <c r="C97" s="3" t="s">
        <v>64</v>
      </c>
    </row>
    <row r="98" spans="3:3">
      <c r="C98" s="2" t="s">
        <v>65</v>
      </c>
    </row>
    <row r="99" spans="3:3">
      <c r="C99" s="3" t="s">
        <v>66</v>
      </c>
    </row>
    <row r="100" spans="3:3">
      <c r="C100" s="2" t="s">
        <v>67</v>
      </c>
    </row>
    <row r="101" spans="3:3">
      <c r="C101" s="3" t="s">
        <v>68</v>
      </c>
    </row>
    <row r="102" spans="3:3">
      <c r="C102" s="2" t="s">
        <v>69</v>
      </c>
    </row>
    <row r="103" spans="3:3">
      <c r="C103" s="3" t="s">
        <v>70</v>
      </c>
    </row>
    <row r="104" spans="3:3">
      <c r="C104" s="2" t="s">
        <v>71</v>
      </c>
    </row>
    <row r="105" spans="3:3">
      <c r="C105" s="3" t="s">
        <v>72</v>
      </c>
    </row>
    <row r="106" spans="3:3">
      <c r="C106" s="2" t="s">
        <v>73</v>
      </c>
    </row>
    <row r="107" spans="3:3">
      <c r="C107" s="3" t="s">
        <v>74</v>
      </c>
    </row>
    <row r="108" spans="3:3">
      <c r="C108" s="2" t="s">
        <v>75</v>
      </c>
    </row>
    <row r="109" spans="3:3">
      <c r="C109" s="3" t="s">
        <v>76</v>
      </c>
    </row>
    <row r="110" spans="3:3">
      <c r="C110" s="2" t="s">
        <v>77</v>
      </c>
    </row>
    <row r="111" spans="3:3">
      <c r="C111" s="3" t="s">
        <v>78</v>
      </c>
    </row>
    <row r="112" spans="3:3">
      <c r="C112" s="2" t="s">
        <v>79</v>
      </c>
    </row>
    <row r="113" spans="3:3">
      <c r="C113" s="3" t="s">
        <v>80</v>
      </c>
    </row>
    <row r="114" spans="3:3">
      <c r="C114" s="2" t="s">
        <v>81</v>
      </c>
    </row>
    <row r="115" spans="3:3">
      <c r="C115" s="3" t="s">
        <v>82</v>
      </c>
    </row>
    <row r="116" spans="3:3">
      <c r="C116" s="2" t="s">
        <v>83</v>
      </c>
    </row>
    <row r="117" spans="3:3">
      <c r="C117" s="3" t="s">
        <v>84</v>
      </c>
    </row>
    <row r="118" spans="3:3">
      <c r="C118" s="2" t="s">
        <v>85</v>
      </c>
    </row>
    <row r="119" spans="3:3">
      <c r="C119" s="3" t="s">
        <v>86</v>
      </c>
    </row>
    <row r="120" spans="3:3">
      <c r="C120" s="2" t="s">
        <v>87</v>
      </c>
    </row>
    <row r="121" spans="3:3">
      <c r="C121" s="3" t="s">
        <v>88</v>
      </c>
    </row>
    <row r="122" spans="3:3">
      <c r="C122" s="2" t="s">
        <v>89</v>
      </c>
    </row>
    <row r="123" spans="3:3">
      <c r="C123" s="3" t="s">
        <v>90</v>
      </c>
    </row>
    <row r="124" spans="3:3">
      <c r="C124" s="2" t="s">
        <v>91</v>
      </c>
    </row>
    <row r="125" spans="3:3">
      <c r="C125" s="3" t="s">
        <v>92</v>
      </c>
    </row>
    <row r="126" spans="3:3">
      <c r="C126" s="2" t="s">
        <v>93</v>
      </c>
    </row>
    <row r="127" spans="3:3">
      <c r="C127" s="3" t="s">
        <v>94</v>
      </c>
    </row>
    <row r="128" spans="3:3">
      <c r="C128" s="2" t="s">
        <v>95</v>
      </c>
    </row>
    <row r="129" spans="3:3">
      <c r="C129" s="3" t="s">
        <v>96</v>
      </c>
    </row>
    <row r="130" spans="3:3">
      <c r="C130" s="2" t="s">
        <v>97</v>
      </c>
    </row>
    <row r="131" spans="3:3">
      <c r="C131" s="3" t="s">
        <v>98</v>
      </c>
    </row>
    <row r="132" spans="3:3">
      <c r="C132" s="2" t="s">
        <v>99</v>
      </c>
    </row>
    <row r="133" spans="3:3">
      <c r="C133" s="3" t="s">
        <v>100</v>
      </c>
    </row>
    <row r="134" spans="3:3">
      <c r="C134" s="2" t="s">
        <v>101</v>
      </c>
    </row>
    <row r="135" spans="3:3">
      <c r="C135" s="3" t="s">
        <v>102</v>
      </c>
    </row>
    <row r="136" spans="3:3">
      <c r="C136" s="2" t="s">
        <v>103</v>
      </c>
    </row>
    <row r="137" spans="3:3">
      <c r="C137" s="3" t="s">
        <v>104</v>
      </c>
    </row>
    <row r="138" spans="3:3">
      <c r="C138" s="2" t="s">
        <v>105</v>
      </c>
    </row>
    <row r="139" spans="3:3">
      <c r="C139" s="3" t="s">
        <v>106</v>
      </c>
    </row>
    <row r="140" spans="3:3">
      <c r="C140" s="2" t="s">
        <v>107</v>
      </c>
    </row>
    <row r="141" spans="3:3">
      <c r="C141" s="3" t="s">
        <v>108</v>
      </c>
    </row>
    <row r="142" spans="3:3">
      <c r="C142" s="2" t="s">
        <v>109</v>
      </c>
    </row>
    <row r="143" spans="3:3">
      <c r="C143" s="3" t="s">
        <v>110</v>
      </c>
    </row>
    <row r="144" spans="3:3">
      <c r="C144" s="2" t="s">
        <v>111</v>
      </c>
    </row>
    <row r="145" spans="3:3">
      <c r="C145" s="3" t="s">
        <v>112</v>
      </c>
    </row>
    <row r="146" spans="3:3">
      <c r="C146" s="2" t="s">
        <v>113</v>
      </c>
    </row>
    <row r="147" spans="3:3">
      <c r="C147" s="3" t="s">
        <v>114</v>
      </c>
    </row>
    <row r="148" spans="3:3">
      <c r="C148" s="2" t="s">
        <v>115</v>
      </c>
    </row>
    <row r="149" spans="3:3">
      <c r="C149" s="3" t="s">
        <v>116</v>
      </c>
    </row>
    <row r="150" spans="3:3">
      <c r="C150" s="2" t="s">
        <v>117</v>
      </c>
    </row>
    <row r="151" spans="3:3">
      <c r="C151" s="3" t="s">
        <v>118</v>
      </c>
    </row>
    <row r="152" spans="3:3">
      <c r="C152" s="2" t="s">
        <v>119</v>
      </c>
    </row>
    <row r="153" spans="3:3">
      <c r="C153" s="3" t="s">
        <v>120</v>
      </c>
    </row>
    <row r="154" spans="3:3">
      <c r="C154" s="2" t="s">
        <v>121</v>
      </c>
    </row>
    <row r="155" spans="3:3">
      <c r="C155" s="3" t="s">
        <v>122</v>
      </c>
    </row>
    <row r="156" spans="3:3">
      <c r="C156" s="2" t="s">
        <v>123</v>
      </c>
    </row>
    <row r="157" spans="3:3">
      <c r="C157" s="3" t="s">
        <v>124</v>
      </c>
    </row>
    <row r="158" spans="3:3">
      <c r="C158" s="2" t="s">
        <v>125</v>
      </c>
    </row>
    <row r="159" spans="3:3">
      <c r="C159" s="3" t="s">
        <v>126</v>
      </c>
    </row>
    <row r="160" spans="3:3">
      <c r="C160" s="2" t="s">
        <v>127</v>
      </c>
    </row>
    <row r="161" spans="3:3">
      <c r="C161" s="3" t="s">
        <v>128</v>
      </c>
    </row>
    <row r="162" spans="3:3">
      <c r="C162" s="2" t="s">
        <v>129</v>
      </c>
    </row>
    <row r="163" spans="3:3">
      <c r="C163" s="3" t="s">
        <v>130</v>
      </c>
    </row>
    <row r="164" spans="3:3">
      <c r="C164" s="2" t="s">
        <v>131</v>
      </c>
    </row>
    <row r="165" spans="3:3">
      <c r="C165" s="3" t="s">
        <v>132</v>
      </c>
    </row>
    <row r="166" spans="3:3">
      <c r="C166" s="2" t="s">
        <v>133</v>
      </c>
    </row>
    <row r="167" spans="3:3">
      <c r="C167" s="3" t="s">
        <v>134</v>
      </c>
    </row>
    <row r="168" spans="3:3">
      <c r="C168" s="2" t="s">
        <v>135</v>
      </c>
    </row>
    <row r="169" spans="3:3">
      <c r="C169" s="3" t="s">
        <v>136</v>
      </c>
    </row>
    <row r="170" spans="3:3">
      <c r="C170" s="2" t="s">
        <v>137</v>
      </c>
    </row>
    <row r="171" spans="3:3">
      <c r="C171" s="3" t="s">
        <v>138</v>
      </c>
    </row>
    <row r="172" spans="3:3">
      <c r="C172" s="2" t="s">
        <v>139</v>
      </c>
    </row>
    <row r="173" spans="3:3">
      <c r="C173" s="3" t="s">
        <v>140</v>
      </c>
    </row>
    <row r="174" spans="3:3">
      <c r="C174" s="2" t="s">
        <v>141</v>
      </c>
    </row>
    <row r="175" spans="3:3">
      <c r="C175" s="3" t="s">
        <v>142</v>
      </c>
    </row>
    <row r="176" spans="3:3">
      <c r="C176" s="2" t="s">
        <v>143</v>
      </c>
    </row>
    <row r="177" spans="3:3">
      <c r="C177" s="3" t="s">
        <v>144</v>
      </c>
    </row>
    <row r="178" spans="3:3">
      <c r="C178" s="2" t="s">
        <v>145</v>
      </c>
    </row>
    <row r="179" spans="3:3">
      <c r="C179" s="3" t="s">
        <v>146</v>
      </c>
    </row>
    <row r="180" spans="3:3">
      <c r="C180" s="2" t="s">
        <v>147</v>
      </c>
    </row>
    <row r="181" spans="3:3">
      <c r="C181" s="3" t="s">
        <v>148</v>
      </c>
    </row>
    <row r="182" spans="3:3">
      <c r="C182" s="2" t="s">
        <v>149</v>
      </c>
    </row>
    <row r="183" spans="3:3">
      <c r="C183" s="3" t="s">
        <v>150</v>
      </c>
    </row>
    <row r="184" spans="3:3">
      <c r="C184" s="2" t="s">
        <v>151</v>
      </c>
    </row>
    <row r="185" spans="3:3">
      <c r="C185" s="3" t="s">
        <v>152</v>
      </c>
    </row>
    <row r="186" spans="3:3">
      <c r="C186" s="2" t="s">
        <v>153</v>
      </c>
    </row>
    <row r="187" spans="3:3">
      <c r="C187" s="3" t="s">
        <v>154</v>
      </c>
    </row>
    <row r="188" spans="3:3">
      <c r="C188" s="2" t="s">
        <v>155</v>
      </c>
    </row>
    <row r="189" spans="3:3">
      <c r="C189" s="3" t="s">
        <v>156</v>
      </c>
    </row>
    <row r="190" spans="3:3">
      <c r="C190" s="2" t="s">
        <v>157</v>
      </c>
    </row>
    <row r="191" spans="3:3">
      <c r="C191" s="3" t="s">
        <v>158</v>
      </c>
    </row>
    <row r="192" spans="3:3">
      <c r="C192" s="2" t="s">
        <v>159</v>
      </c>
    </row>
    <row r="193" spans="3:3">
      <c r="C193" s="3" t="s">
        <v>160</v>
      </c>
    </row>
    <row r="194" spans="3:3">
      <c r="C194" s="2" t="s">
        <v>161</v>
      </c>
    </row>
    <row r="195" spans="3:3">
      <c r="C195" s="3" t="s">
        <v>162</v>
      </c>
    </row>
    <row r="196" spans="3:3">
      <c r="C196" s="2" t="s">
        <v>163</v>
      </c>
    </row>
    <row r="197" spans="3:3">
      <c r="C197" s="3" t="s">
        <v>164</v>
      </c>
    </row>
    <row r="198" spans="3:3">
      <c r="C198" s="2" t="s">
        <v>165</v>
      </c>
    </row>
    <row r="199" spans="3:3">
      <c r="C199" s="3" t="s">
        <v>166</v>
      </c>
    </row>
    <row r="200" spans="3:3">
      <c r="C200" s="2" t="s">
        <v>167</v>
      </c>
    </row>
    <row r="201" spans="3:3">
      <c r="C201" s="3" t="s">
        <v>168</v>
      </c>
    </row>
  </sheetData>
  <pageMargins left="0.7" right="0.7" top="0.75" bottom="0.75" header="0.3" footer="0.3"/>
  <headerFooter/>
  <customProperties>
    <customPr name="_pios_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e-mail_base</vt:lpstr>
      <vt:lpstr>Instructions</vt:lpstr>
      <vt:lpstr>button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Debere</dc:creator>
  <cp:lastModifiedBy>deber</cp:lastModifiedBy>
  <dcterms:created xsi:type="dcterms:W3CDTF">2024-01-16T08:47:00Z</dcterms:created>
  <dcterms:modified xsi:type="dcterms:W3CDTF">2024-11-25T00:04:04Z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ICV">
    <vt:lpwstr>0F09344F9BBE42698A8FA00BFBE57E4A_12</vt:lpwstr>
  </property>
  <property fmtid="{D5CDD505-2E9C-101B-9397-08002B2CF9AE}" pid="4" name="KSOProductBuildVer">
    <vt:lpwstr>1045-12.2.0.18911</vt:lpwstr>
  </property>
</Properties>
</file>